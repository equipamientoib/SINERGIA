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Paquetes" sheetId="3" state="visible" r:id="rId3"/>
    <sheet xmlns:r="http://schemas.openxmlformats.org/officeDocument/2006/relationships" name="Proyectos" sheetId="4" state="visible" r:id="rId4"/>
    <sheet xmlns:r="http://schemas.openxmlformats.org/officeDocument/2006/relationships" name="Modelo de precios" sheetId="5" state="visible" r:id="rId5"/>
    <sheet xmlns:r="http://schemas.openxmlformats.org/officeDocument/2006/relationships" name="Herramientas de apoyo" sheetId="6" state="visible" r:id="rId6"/>
    <sheet xmlns:r="http://schemas.openxmlformats.org/officeDocument/2006/relationships" name="Proyección de compra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S/ &quot;#,##0"/>
    <numFmt numFmtId="165" formatCode="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9A7F4E"/>
      <sz val="14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7191D"/>
      <sz val="12"/>
    </font>
    <font>
      <name val="Arial"/>
      <charset val="1"/>
      <family val="0"/>
      <b val="1"/>
      <color rgb="FF9A7F4E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6E727A"/>
      <sz val="9"/>
    </font>
    <font>
      <name val="Arial"/>
      <charset val="1"/>
      <family val="0"/>
      <color rgb="FF7A5A2E"/>
      <sz val="11"/>
    </font>
    <font>
      <name val="Arial"/>
      <b val="1"/>
      <color rgb="00FFFFFF"/>
      <sz val="10"/>
    </font>
    <font>
      <name val="Arial"/>
      <color rgb="00000000"/>
    </font>
    <font>
      <name val="Arial"/>
      <color rgb="000000FF"/>
    </font>
    <font>
      <name val="Calibri"/>
      <b val="1"/>
      <color rgb="00FFFFFF"/>
    </font>
    <font>
      <i val="1"/>
      <color rgb="009A7F4E"/>
      <sz val="9"/>
    </font>
  </fonts>
  <fills count="11">
    <fill>
      <patternFill/>
    </fill>
    <fill>
      <patternFill patternType="gray125"/>
    </fill>
    <fill>
      <patternFill patternType="solid">
        <fgColor rgb="FF17191D"/>
        <bgColor rgb="FF000000"/>
      </patternFill>
    </fill>
    <fill>
      <patternFill patternType="solid">
        <fgColor rgb="FFFFF7D6"/>
        <bgColor rgb="FFFCEFD8"/>
      </patternFill>
    </fill>
    <fill>
      <patternFill patternType="solid">
        <fgColor rgb="FFEAF1EE"/>
        <bgColor rgb="FFF0ECE2"/>
      </patternFill>
    </fill>
    <fill>
      <patternFill patternType="solid">
        <fgColor rgb="FFF3ECDD"/>
        <bgColor rgb="FFF0ECE2"/>
      </patternFill>
    </fill>
    <fill>
      <patternFill patternType="solid">
        <fgColor rgb="FFF0ECE2"/>
        <bgColor rgb="FFF3ECDD"/>
      </patternFill>
    </fill>
    <fill>
      <patternFill patternType="solid">
        <fgColor rgb="FF9A7F4E"/>
        <bgColor rgb="FF969696"/>
      </patternFill>
    </fill>
    <fill>
      <patternFill patternType="solid">
        <fgColor rgb="FFFCEFD8"/>
        <bgColor rgb="FFF3ECDD"/>
      </patternFill>
    </fill>
    <fill>
      <patternFill patternType="solid">
        <fgColor rgb="0017191D"/>
      </patternFill>
    </fill>
    <fill>
      <patternFill patternType="solid">
        <fgColor rgb="00FFF7D6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" fontId="9" fillId="3" borderId="0" applyAlignment="1" pivotButton="0" quotePrefix="0" xfId="0">
      <alignment horizontal="center" vertical="center"/>
    </xf>
    <xf numFmtId="9" fontId="9" fillId="3" borderId="0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center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13" fillId="9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left" vertical="center" wrapText="1"/>
    </xf>
    <xf numFmtId="164" fontId="15" fillId="10" borderId="6" applyAlignment="1" pivotButton="0" quotePrefix="0" xfId="0">
      <alignment horizontal="center" vertical="center"/>
    </xf>
    <xf numFmtId="164" fontId="1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" fontId="9" fillId="3" borderId="0" applyAlignment="1" pivotButton="0" quotePrefix="0" xfId="0">
      <alignment horizontal="center" vertical="center"/>
    </xf>
    <xf numFmtId="9" fontId="9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center"/>
    </xf>
    <xf numFmtId="0" fontId="0" fillId="0" borderId="4" pivotButton="0" quotePrefix="0" xfId="0"/>
    <xf numFmtId="0" fontId="0" fillId="0" borderId="5" pivotButton="0" quotePrefix="0" xfId="0"/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16" fillId="9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2E"/>
      <rgbColor rgb="FF800080"/>
      <rgbColor rgb="FF008080"/>
      <rgbColor rgb="FFC0C0C0"/>
      <rgbColor rgb="FF9A7F4E"/>
      <rgbColor rgb="FF9999FF"/>
      <rgbColor rgb="FF993366"/>
      <rgbColor rgb="FFFFF7D6"/>
      <rgbColor rgb="FFEAF1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CDD"/>
      <rgbColor rgb="FFF0ECE2"/>
      <rgbColor rgb="FFFCEF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27A"/>
      <rgbColor rgb="FF969696"/>
      <rgbColor rgb="FF003366"/>
      <rgbColor rgb="FF339966"/>
      <rgbColor rgb="FF17191D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4" customWidth="1" style="42" min="1" max="1"/>
  </cols>
  <sheetData>
    <row r="1" ht="17.25" customHeight="1" s="43">
      <c r="A1" s="44" t="inlineStr">
        <is>
          <t>HOJA MAESTRA — Sinergia Biomédica</t>
        </is>
      </c>
    </row>
    <row r="2" ht="15" customHeight="1" s="43">
      <c r="A2" s="45" t="n"/>
    </row>
    <row r="3" ht="15" customHeight="1" s="43">
      <c r="A3" s="46" t="inlineStr">
        <is>
          <t>HOJAS</t>
        </is>
      </c>
    </row>
    <row r="4" ht="15" customHeight="1" s="43">
      <c r="A4" s="45" t="inlineStr">
        <is>
          <t>• Equipos: lo que TIENES y se alquila (alimenta la web).</t>
        </is>
      </c>
    </row>
    <row r="5" ht="15" customHeight="1" s="43">
      <c r="A5" s="45" t="inlineStr">
        <is>
          <t>• Paquetes: por aplicacion, en 2 niveles (Calibracion y Mantenimiento).</t>
        </is>
      </c>
    </row>
    <row r="6" ht="15" customHeight="1" s="43">
      <c r="A6" s="45" t="inlineStr">
        <is>
          <t>• Herramientas de apoyo: complementarias (set 46, destornillador electrico).</t>
        </is>
      </c>
    </row>
    <row r="7" ht="15" customHeight="1" s="43">
      <c r="A7" s="45" t="inlineStr">
        <is>
          <t>• Proyeccion de compras: lo que vas a adquirir (ambar). NO se muestra en la web.</t>
        </is>
      </c>
    </row>
    <row r="8" ht="15" customHeight="1" s="43">
      <c r="A8" s="45" t="n"/>
    </row>
    <row r="9" ht="15" customHeight="1" s="43">
      <c r="A9" s="46" t="inlineStr">
        <is>
          <t>NIVELES DE PAQUETE</t>
        </is>
      </c>
    </row>
    <row r="10" ht="15" customHeight="1" s="43">
      <c r="A10" s="45" t="inlineStr">
        <is>
          <t>• Calibracion: solo instrumentos para medir y certificar esa aplicacion.</t>
        </is>
      </c>
    </row>
    <row r="11" ht="15" customHeight="1" s="43">
      <c r="A11" s="45" t="inlineStr">
        <is>
          <t>• Mantenimiento: Calibracion + multimetro + herramientas de apoyo (intervencion en sitio).</t>
        </is>
      </c>
    </row>
    <row r="12" ht="15" customHeight="1" s="43">
      <c r="A12" s="45" t="inlineStr">
        <is>
          <t>• Precio Mantenimiento = precio Calibracion + agregado del kit (multimetro S/65 + apoyo S/35 = S/100/dia).</t>
        </is>
      </c>
    </row>
    <row r="13" ht="15" customHeight="1" s="43">
      <c r="A13" s="45" t="inlineStr">
        <is>
          <t xml:space="preserve">  El agregado es editable: ajusta el precio_dia del Mantenimiento segun lo que incluyas.</t>
        </is>
      </c>
    </row>
    <row r="14" ht="15" customHeight="1" s="43">
      <c r="A14" s="45" t="n"/>
    </row>
    <row r="15" ht="15" customHeight="1" s="43">
      <c r="A15" s="46" t="inlineStr">
        <is>
          <t>GRUPOS DE ALQUILER</t>
        </is>
      </c>
    </row>
    <row r="16" ht="15" customHeight="1" s="43">
      <c r="A16" s="45" t="inlineStr">
        <is>
          <t>1. Analizadores y simuladores · 2. Instrumentos de medicion · 3. Medidores electricos.</t>
        </is>
      </c>
    </row>
    <row r="17" ht="15" customHeight="1" s="43">
      <c r="A17" s="45" t="n"/>
    </row>
    <row r="18" ht="15" customHeight="1" s="43">
      <c r="A18" s="45" t="inlineStr">
        <is>
          <t>CELDAS EDITABLES (amarillo): precio_dia y estado. Semana y mes se calculan solos (x4 y x12).</t>
        </is>
      </c>
    </row>
    <row r="19" ht="15" customHeight="1" s="43">
      <c r="A19" s="45" t="n"/>
    </row>
    <row r="20" ht="15" customHeight="1" s="43">
      <c r="A20" s="45" t="inlineStr">
        <is>
          <t>CONECTAR A LA WEB (igual que RUHA, gratis): subir a Google Sheets, compartir con el robot</t>
        </is>
      </c>
    </row>
    <row r="21" ht="15" customHeight="1" s="43">
      <c r="A21" s="45" t="inlineStr">
        <is>
          <t>lector (cuenta de servicio) y pasarme el enlace; la web lee Equipos y Paquetes en vivo.</t>
        </is>
      </c>
    </row>
    <row r="22"/>
    <row r="23" ht="15" customHeight="1" s="43">
      <c r="A23" s="47" t="inlineStr">
        <is>
          <t>FOTOS DE CADA EQUIPO (carpeta de Drive)</t>
        </is>
      </c>
    </row>
    <row r="24" ht="15" customHeight="1" s="43">
      <c r="A24" s="45" t="inlineStr">
        <is>
          <t>1. Crea una carpeta en tu Drive por cada equipo y sube las fotos EN ORDEN.</t>
        </is>
      </c>
    </row>
    <row r="25" ht="15" customHeight="1" s="43">
      <c r="A25" s="45" t="inlineStr">
        <is>
          <t>2. La foto 1 sera la PORTADA; las demas seran la galeria, en el orden que las subas.</t>
        </is>
      </c>
    </row>
    <row r="26" ht="15" customHeight="1" s="43">
      <c r="A26" s="45" t="inlineStr">
        <is>
          <t>3. Pega el enlace de la carpeta en la columna 'carpeta_fotos' del equipo.</t>
        </is>
      </c>
    </row>
    <row r="27" ht="15" customHeight="1" s="43">
      <c r="A27" s="45" t="inlineStr">
        <is>
          <t>4. Comparte la carpeta (o el Drive) con la cuenta de servicio (robot lector) como Lector.</t>
        </is>
      </c>
    </row>
    <row r="28" ht="15" customHeight="1" s="43">
      <c r="A28" s="45" t="inlineStr">
        <is>
          <t>5. La web leera la carpeta y mostrara las fotos solas (modelo RUHA). Sin pegar fotos en el chat.</t>
        </is>
      </c>
    </row>
    <row r="29"/>
    <row r="30" ht="15" customHeight="1" s="43">
      <c r="A30" s="47" t="inlineStr">
        <is>
          <t>FICHA TÉCNICA / BROCHURE (PDF por equipo)</t>
        </is>
      </c>
    </row>
    <row r="31" ht="15" customHeight="1" s="43">
      <c r="A31" s="45" t="inlineStr">
        <is>
          <t>• Sube el PDF (ficha o brochure) a tu Drive y pega el enlace en la columna 'ficha_pdf'.</t>
        </is>
      </c>
    </row>
    <row r="32" ht="15" customHeight="1" s="43">
      <c r="A32" s="45" t="inlineStr">
        <is>
          <t>• En la web aparece el botón 'Ver ficha técnica (PDF)' en cada equipo que tenga enlace.</t>
        </is>
      </c>
    </row>
    <row r="33" ht="15" customHeight="1" s="43">
      <c r="A33" s="45" t="inlineStr">
        <is>
          <t>• Compártelo con la cuenta de servicio (robot lector), igual que las fotos.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3" min="1" max="1"/>
    <col width="26" customWidth="1" style="43" min="2" max="2"/>
    <col width="20" customWidth="1" style="43" min="3" max="3"/>
    <col width="30" customWidth="1" style="43" min="4" max="4"/>
    <col width="16" customWidth="1" style="43" min="5" max="5"/>
    <col width="10" customWidth="1" style="43" min="6" max="6"/>
    <col width="9" customWidth="1" style="43" min="7" max="7"/>
    <col width="9" customWidth="1" style="43" min="8" max="8"/>
    <col width="16" customWidth="1" style="43" min="9" max="9"/>
    <col width="11" customWidth="1" style="43" min="10" max="10"/>
    <col width="12" customWidth="1" style="43" min="11" max="11"/>
    <col width="12" customWidth="1" style="43" min="12" max="12"/>
    <col width="30" customWidth="1" style="43" min="13" max="13"/>
    <col width="7" customWidth="1" style="43" min="14" max="14"/>
    <col width="46" customWidth="1" style="43" min="15" max="15"/>
    <col width="40" customWidth="1" style="43" min="16" max="16"/>
  </cols>
  <sheetData>
    <row r="1">
      <c r="A1" s="48" t="inlineStr">
        <is>
          <t>id</t>
        </is>
      </c>
      <c r="B1" s="48" t="inlineStr">
        <is>
          <t>grupo</t>
        </is>
      </c>
      <c r="C1" s="48" t="inlineStr">
        <is>
          <t>categoria</t>
        </is>
      </c>
      <c r="D1" s="48" t="inlineStr">
        <is>
          <t>nombre</t>
        </is>
      </c>
      <c r="E1" s="48" t="inlineStr">
        <is>
          <t>marca</t>
        </is>
      </c>
      <c r="F1" s="48" t="inlineStr">
        <is>
          <t>tier</t>
        </is>
      </c>
      <c r="G1" s="48" t="inlineStr">
        <is>
          <t>icono</t>
        </is>
      </c>
      <c r="H1" s="48" t="inlineStr">
        <is>
          <t>codigo</t>
        </is>
      </c>
      <c r="I1" s="48" t="inlineStr">
        <is>
          <t>foto</t>
        </is>
      </c>
      <c r="J1" s="48" t="inlineStr">
        <is>
          <t>precio_dia</t>
        </is>
      </c>
      <c r="K1" s="48" t="inlineStr">
        <is>
          <t>precio_semana</t>
        </is>
      </c>
      <c r="L1" s="48" t="inlineStr">
        <is>
          <t>precio_mes</t>
        </is>
      </c>
      <c r="M1" s="48" t="inlineStr">
        <is>
          <t>ficha_pdf</t>
        </is>
      </c>
      <c r="N1" s="48" t="inlineStr">
        <is>
          <t>apoyo</t>
        </is>
      </c>
      <c r="O1" s="48" t="inlineStr">
        <is>
          <t>descripcion</t>
        </is>
      </c>
      <c r="P1" s="48" t="inlineStr">
        <is>
          <t>specs_json</t>
        </is>
      </c>
    </row>
    <row r="2">
      <c r="A2" s="49" t="inlineStr">
        <is>
          <t>esa620</t>
        </is>
      </c>
      <c r="B2" s="49" t="inlineStr">
        <is>
          <t>Analizadores y simuladores</t>
        </is>
      </c>
      <c r="C2" s="50" t="inlineStr">
        <is>
          <t>Analizador eléctrico</t>
        </is>
      </c>
      <c r="D2" s="50" t="inlineStr">
        <is>
          <t>Analizador de seguridad eléctrica</t>
        </is>
      </c>
      <c r="E2" s="50" t="inlineStr">
        <is>
          <t>Fluke ESA620 · EE.UU.</t>
        </is>
      </c>
      <c r="F2" s="49" t="inlineStr">
        <is>
          <t>Premium</t>
        </is>
      </c>
      <c r="G2" s="49" t="inlineStr">
        <is>
          <t>ecg</t>
        </is>
      </c>
      <c r="H2" s="49" t="inlineStr">
        <is>
          <t>ESA620</t>
        </is>
      </c>
      <c r="I2" s="49" t="inlineStr">
        <is>
          <t>img/tienda/esa620.jpg</t>
        </is>
      </c>
      <c r="J2" s="51" t="n">
        <v>270</v>
      </c>
      <c r="K2" s="52">
        <f>J2*4</f>
        <v/>
      </c>
      <c r="L2" s="52">
        <f>J2*12</f>
        <v/>
      </c>
      <c r="M2" s="49" t="inlineStr"/>
      <c r="N2" s="49" t="inlineStr"/>
      <c r="O2" s="50" t="inlineStr">
        <is>
          <t>Analizador de seguridad eléctrica biomédico que verifica el cumplimiento de las normas IEC 62353 e IEC 60601-1. Mide corrientes de fuga, resistencia de tierra y aislamiento, con selección de partes aplicadas y simulación de fallas. Ideal para validaciones post-mantenimiento y auditorías; llega con certificado de calibración vigente.</t>
        </is>
      </c>
      <c r="P2" s="50" t="inlineStr">
        <is>
          <t>{"Marca": "Fluke", "Modelo": "ESA620", "Origen": "Estados Unidos", "Normas": "IEC 62353 · 60601-1", "Calibración": "Certificado vigente"}</t>
        </is>
      </c>
    </row>
    <row r="3">
      <c r="A3" s="49" t="inlineStr">
        <is>
          <t>defib</t>
        </is>
      </c>
      <c r="B3" s="49" t="inlineStr">
        <is>
          <t>Analizadores y simuladores</t>
        </is>
      </c>
      <c r="C3" s="50" t="inlineStr">
        <is>
          <t>Analizador de desfibrilador</t>
        </is>
      </c>
      <c r="D3" s="50" t="inlineStr">
        <is>
          <t>Analizador de desfibriladores</t>
        </is>
      </c>
      <c r="E3" s="50" t="inlineStr">
        <is>
          <t>Meditech MDP-8082255 · China</t>
        </is>
      </c>
      <c r="F3" s="49" t="inlineStr">
        <is>
          <t>Estándar</t>
        </is>
      </c>
      <c r="G3" s="49" t="inlineStr">
        <is>
          <t>pulse</t>
        </is>
      </c>
      <c r="H3" s="49" t="inlineStr">
        <is>
          <t>DEFIB</t>
        </is>
      </c>
      <c r="I3" s="49" t="inlineStr"/>
      <c r="J3" s="51" t="n">
        <v>228</v>
      </c>
      <c r="K3" s="52">
        <f>J3*4</f>
        <v/>
      </c>
      <c r="L3" s="52">
        <f>J3*12</f>
        <v/>
      </c>
      <c r="M3" s="49" t="inlineStr"/>
      <c r="N3" s="49" t="inlineStr"/>
      <c r="O3" s="50" t="inlineStr">
        <is>
          <t>Analizador de desfibriladores que mide la energía entregada (joules) sobre carga de 50 Ω, el tiempo de carga y la sincronización en cardioversión. Permite comprobar que el equipo descarga dentro de la tolerancia del fabricante, en modo manual y sincronizado. Incluye certificado de calibración vigente.</t>
        </is>
      </c>
      <c r="P3" s="50" t="inlineStr">
        <is>
          <t>{"Marca": "Meditech", "Modelo": "MDP-8082255", "Origen": "China", "Uso": "Desfibriladores"}</t>
        </is>
      </c>
    </row>
    <row r="4">
      <c r="A4" s="49" t="inlineStr">
        <is>
          <t>ms400</t>
        </is>
      </c>
      <c r="B4" s="49" t="inlineStr">
        <is>
          <t>Analizadores y simuladores</t>
        </is>
      </c>
      <c r="C4" s="50" t="inlineStr">
        <is>
          <t>Simulador de paciente</t>
        </is>
      </c>
      <c r="D4" s="50" t="inlineStr">
        <is>
          <t>Simulador ECG</t>
        </is>
      </c>
      <c r="E4" s="50" t="inlineStr">
        <is>
          <t>Contec MS400 · China</t>
        </is>
      </c>
      <c r="F4" s="49" t="inlineStr">
        <is>
          <t>Estándar</t>
        </is>
      </c>
      <c r="G4" s="49" t="inlineStr">
        <is>
          <t>ecg</t>
        </is>
      </c>
      <c r="H4" s="49" t="inlineStr">
        <is>
          <t>MS400</t>
        </is>
      </c>
      <c r="I4" s="49" t="inlineStr"/>
      <c r="J4" s="51" t="n">
        <v>195</v>
      </c>
      <c r="K4" s="52">
        <f>J4*4</f>
        <v/>
      </c>
      <c r="L4" s="52">
        <f>J4*12</f>
        <v/>
      </c>
      <c r="M4" s="49" t="inlineStr"/>
      <c r="N4" s="49" t="inlineStr"/>
      <c r="O4" s="50" t="inlineStr">
        <is>
          <t>Simulador de paciente multiparamétrico para monitores y electrocardiógrafos. Genera ECG con ritmo normal y arritmias seleccionables, además de señales de respiración, para verificar la respuesta y exactitud del equipo sin un paciente real. Incluye certificado de calibración vigente.</t>
        </is>
      </c>
      <c r="P4" s="50" t="inlineStr">
        <is>
          <t>{"Marca": "Contec", "Modelo": "MS400", "Origen": "China", "Parámetros": "ECG · Resp · Temp"}</t>
        </is>
      </c>
    </row>
    <row r="5">
      <c r="A5" s="49" t="inlineStr">
        <is>
          <t>sp-sim</t>
        </is>
      </c>
      <c r="B5" s="49" t="inlineStr">
        <is>
          <t>Analizadores y simuladores</t>
        </is>
      </c>
      <c r="C5" s="50" t="inlineStr">
        <is>
          <t>Simulador SpO2</t>
        </is>
      </c>
      <c r="D5" s="50" t="inlineStr">
        <is>
          <t>Simulador de SpO2 para pulsioxímetros</t>
        </is>
      </c>
      <c r="E5" s="50" t="inlineStr">
        <is>
          <t>Rigel SP-SiM · Reino Unido</t>
        </is>
      </c>
      <c r="F5" s="49" t="inlineStr">
        <is>
          <t>Premium</t>
        </is>
      </c>
      <c r="G5" s="49" t="inlineStr">
        <is>
          <t>ecg</t>
        </is>
      </c>
      <c r="H5" s="49" t="inlineStr">
        <is>
          <t>SP-SiM</t>
        </is>
      </c>
      <c r="I5" s="49" t="inlineStr">
        <is>
          <t>img/tienda/sp-sim.jpg</t>
        </is>
      </c>
      <c r="J5" s="51" t="n">
        <v>252</v>
      </c>
      <c r="K5" s="52">
        <f>J5*4</f>
        <v/>
      </c>
      <c r="L5" s="52">
        <f>J5*12</f>
        <v/>
      </c>
      <c r="M5" s="49" t="inlineStr"/>
      <c r="N5" s="49" t="inlineStr"/>
      <c r="O5" s="50" t="inlineStr">
        <is>
          <t>Probador y simulador de SpO₂ para pulsioxímetros y módulos de oximetría. Simula distintos niveles de saturación, frecuencia de pulso e índice de perfusión, compatible con las principales marcas mediante curvas R. Verificación rápida y trazable; llega con certificado de calibración vigente.</t>
        </is>
      </c>
      <c r="P5" s="50" t="inlineStr">
        <is>
          <t>{"Marca": "Rigel", "Modelo": "SP-SiM", "Origen": "Reino Unido", "Uso": "Verificación SpO2"}</t>
        </is>
      </c>
    </row>
    <row r="6">
      <c r="A6" s="49" t="inlineStr">
        <is>
          <t>fluke-945</t>
        </is>
      </c>
      <c r="B6" s="49" t="inlineStr">
        <is>
          <t>Instrumentos de medición</t>
        </is>
      </c>
      <c r="C6" s="50" t="inlineStr">
        <is>
          <t>Sonómetro</t>
        </is>
      </c>
      <c r="D6" s="50" t="inlineStr">
        <is>
          <t>Sonómetro</t>
        </is>
      </c>
      <c r="E6" s="50" t="inlineStr">
        <is>
          <t>Fluke 945 · EE.UU.</t>
        </is>
      </c>
      <c r="F6" s="49" t="inlineStr">
        <is>
          <t>Premium</t>
        </is>
      </c>
      <c r="G6" s="49" t="inlineStr">
        <is>
          <t>num</t>
        </is>
      </c>
      <c r="H6" s="49" t="inlineStr">
        <is>
          <t>dB</t>
        </is>
      </c>
      <c r="I6" s="49" t="inlineStr"/>
      <c r="J6" s="51" t="n">
        <v>108</v>
      </c>
      <c r="K6" s="52">
        <f>J6*4</f>
        <v/>
      </c>
      <c r="L6" s="52">
        <f>J6*12</f>
        <v/>
      </c>
      <c r="M6" s="49" t="inlineStr"/>
      <c r="N6" s="49" t="inlineStr"/>
      <c r="O6" s="50" t="inlineStr">
        <is>
          <t>Sonómetro digital para medir el nivel de presión sonora (dB) con ponderaciones A y C. Útil para verificar niveles de ruido en quirófanos, unidades dentales y salas de equipos, como apoyo al control de condiciones ambientales. Incluye certificado de calibración vigente.</t>
        </is>
      </c>
      <c r="P6" s="50" t="inlineStr">
        <is>
          <t>{"Marca": "Fluke", "Modelo": "945", "Origen": "Estados Unidos", "Uso": "Nivel de ruido (dB)"}</t>
        </is>
      </c>
    </row>
    <row r="7">
      <c r="A7" s="49" t="inlineStr">
        <is>
          <t>fluke-51</t>
        </is>
      </c>
      <c r="B7" s="49" t="inlineStr">
        <is>
          <t>Instrumentos de medición</t>
        </is>
      </c>
      <c r="C7" s="50" t="inlineStr">
        <is>
          <t>Termómetro</t>
        </is>
      </c>
      <c r="D7" s="50" t="inlineStr">
        <is>
          <t>Termómetro digital (tipo termocupla)</t>
        </is>
      </c>
      <c r="E7" s="50" t="inlineStr">
        <is>
          <t>Fluke 51 II · EE.UU.</t>
        </is>
      </c>
      <c r="F7" s="49" t="inlineStr">
        <is>
          <t>Premium</t>
        </is>
      </c>
      <c r="G7" s="49" t="inlineStr">
        <is>
          <t>num</t>
        </is>
      </c>
      <c r="H7" s="49" t="inlineStr">
        <is>
          <t>°C</t>
        </is>
      </c>
      <c r="I7" s="49" t="inlineStr"/>
      <c r="J7" s="51" t="n">
        <v>90</v>
      </c>
      <c r="K7" s="52">
        <f>J7*4</f>
        <v/>
      </c>
      <c r="L7" s="52">
        <f>J7*12</f>
        <v/>
      </c>
      <c r="M7" s="49" t="inlineStr"/>
      <c r="N7" s="49" t="inlineStr"/>
      <c r="O7" s="50" t="inlineStr">
        <is>
          <t>Termómetro digital de alta precisión con entrada de termocupla tipo J/K y resolución de 0,1°. Ideal para verificar la temperatura de incubadoras, baños térmicos y refrigeración de medicamentos. Robusto para campo; llega con certificado de calibración vigente.</t>
        </is>
      </c>
      <c r="P7" s="50" t="inlineStr">
        <is>
          <t>{"Marca": "Fluke", "Modelo": "51 II", "Origen": "Estados Unidos", "Entrada": "Termocupla tipo K"}</t>
        </is>
      </c>
    </row>
    <row r="8">
      <c r="A8" s="49" t="inlineStr">
        <is>
          <t>manometro</t>
        </is>
      </c>
      <c r="B8" s="49" t="inlineStr">
        <is>
          <t>Instrumentos de medición</t>
        </is>
      </c>
      <c r="C8" s="50" t="inlineStr">
        <is>
          <t>Manómetro</t>
        </is>
      </c>
      <c r="D8" s="50" t="inlineStr">
        <is>
          <t>Manómetro diferencial digital</t>
        </is>
      </c>
      <c r="E8" s="50" t="inlineStr">
        <is>
          <t>Genérico · China</t>
        </is>
      </c>
      <c r="F8" s="49" t="inlineStr">
        <is>
          <t>Estándar</t>
        </is>
      </c>
      <c r="G8" s="49" t="inlineStr">
        <is>
          <t>gauge</t>
        </is>
      </c>
      <c r="H8" s="49" t="inlineStr">
        <is>
          <t>BAR</t>
        </is>
      </c>
      <c r="I8" s="49" t="inlineStr"/>
      <c r="J8" s="51" t="n">
        <v>117</v>
      </c>
      <c r="K8" s="52">
        <f>J8*4</f>
        <v/>
      </c>
      <c r="L8" s="52">
        <f>J8*12</f>
        <v/>
      </c>
      <c r="M8" s="49" t="inlineStr"/>
      <c r="N8" s="49" t="inlineStr"/>
      <c r="O8" s="50" t="inlineStr">
        <is>
          <t>Manómetro diferencial digital para pruebas de presión y verificación de presión no invasiva (NIBP) en monitores y equipos neumáticos. Mide presión positiva y diferencial con lectura clara, útil para comprobar canales, fugas y exactitud de manguitos. Incluye certificado de calibración vigente.</t>
        </is>
      </c>
      <c r="P8" s="50" t="inlineStr">
        <is>
          <t>{"Marca": "Genérico", "Origen": "China", "Uso": "Presión / NIBP"}</t>
        </is>
      </c>
    </row>
    <row r="9">
      <c r="A9" s="49" t="inlineStr">
        <is>
          <t>luxometro</t>
        </is>
      </c>
      <c r="B9" s="49" t="inlineStr">
        <is>
          <t>Instrumentos de medición</t>
        </is>
      </c>
      <c r="C9" s="50" t="inlineStr">
        <is>
          <t>Luxómetro</t>
        </is>
      </c>
      <c r="D9" s="50" t="inlineStr">
        <is>
          <t>Luxómetro</t>
        </is>
      </c>
      <c r="E9" s="50" t="inlineStr">
        <is>
          <t>TASI TA630B · China</t>
        </is>
      </c>
      <c r="F9" s="49" t="inlineStr">
        <is>
          <t>Estándar</t>
        </is>
      </c>
      <c r="G9" s="49" t="inlineStr">
        <is>
          <t>num</t>
        </is>
      </c>
      <c r="H9" s="49" t="inlineStr">
        <is>
          <t>LUX</t>
        </is>
      </c>
      <c r="I9" s="49" t="inlineStr"/>
      <c r="J9" s="51" t="n">
        <v>59</v>
      </c>
      <c r="K9" s="52">
        <f>J9*4</f>
        <v/>
      </c>
      <c r="L9" s="52">
        <f>J9*12</f>
        <v/>
      </c>
      <c r="M9" s="49" t="inlineStr"/>
      <c r="N9" s="49" t="inlineStr"/>
      <c r="O9" s="50" t="inlineStr">
        <is>
          <t>Luxómetro digital para medir el nivel de iluminación (lux) en quirófanos y áreas clínicas. Permite verificar que las lámparas cialíticas y la iluminación general cumplan los niveles adecuados. Portátil y de lectura inmediata; llega con certificado de calibración vigente.</t>
        </is>
      </c>
      <c r="P9" s="50" t="inlineStr">
        <is>
          <t>{"Marca": "TASI", "Modelo": "TA630B", "Origen": "China", "Uso": "Iluminación (lux)"}</t>
        </is>
      </c>
    </row>
    <row r="10">
      <c r="A10" s="49" t="inlineStr">
        <is>
          <t>tacometro</t>
        </is>
      </c>
      <c r="B10" s="49" t="inlineStr">
        <is>
          <t>Instrumentos de medición</t>
        </is>
      </c>
      <c r="C10" s="50" t="inlineStr">
        <is>
          <t>Tacómetro</t>
        </is>
      </c>
      <c r="D10" s="50" t="inlineStr">
        <is>
          <t>Tacómetro dual (contacto / óptico)</t>
        </is>
      </c>
      <c r="E10" s="50" t="inlineStr">
        <is>
          <t>TASI TA500C · China</t>
        </is>
      </c>
      <c r="F10" s="49" t="inlineStr">
        <is>
          <t>Estándar</t>
        </is>
      </c>
      <c r="G10" s="49" t="inlineStr">
        <is>
          <t>num</t>
        </is>
      </c>
      <c r="H10" s="49" t="inlineStr">
        <is>
          <t>RPM</t>
        </is>
      </c>
      <c r="I10" s="49" t="inlineStr"/>
      <c r="J10" s="51" t="n">
        <v>59</v>
      </c>
      <c r="K10" s="52">
        <f>J10*4</f>
        <v/>
      </c>
      <c r="L10" s="52">
        <f>J10*12</f>
        <v/>
      </c>
      <c r="M10" s="49" t="inlineStr"/>
      <c r="N10" s="49" t="inlineStr"/>
      <c r="O10" s="50" t="inlineStr">
        <is>
          <t>Tacómetro digital de doble modo (contacto y óptico) para medir velocidad de rotación (rpm) en centrífugas y equipos rotativos. El modo óptico mide sin contacto con cinta reflectante. Ideal para verificar la velocidad real frente al valor programado. Incluye certificado de calibración vigente.</t>
        </is>
      </c>
      <c r="P10" s="50" t="inlineStr">
        <is>
          <t>{"Marca": "TASI", "Modelo": "TA500C", "Origen": "China", "Modo": "Contacto / óptico"}</t>
        </is>
      </c>
    </row>
    <row r="11">
      <c r="A11" s="49" t="inlineStr">
        <is>
          <t>multimetro</t>
        </is>
      </c>
      <c r="B11" s="49" t="inlineStr">
        <is>
          <t>Medidores eléctricos</t>
        </is>
      </c>
      <c r="C11" s="50" t="inlineStr">
        <is>
          <t>Multímetro</t>
        </is>
      </c>
      <c r="D11" s="50" t="inlineStr">
        <is>
          <t>Multímetro digital</t>
        </is>
      </c>
      <c r="E11" s="50" t="inlineStr">
        <is>
          <t>Sanwa CD771 · Japón</t>
        </is>
      </c>
      <c r="F11" s="49" t="inlineStr">
        <is>
          <t>Premium</t>
        </is>
      </c>
      <c r="G11" s="49" t="inlineStr">
        <is>
          <t>num</t>
        </is>
      </c>
      <c r="H11" s="49" t="inlineStr">
        <is>
          <t>V</t>
        </is>
      </c>
      <c r="I11" s="49" t="inlineStr"/>
      <c r="J11" s="51" t="n">
        <v>65</v>
      </c>
      <c r="K11" s="52">
        <f>J11*4</f>
        <v/>
      </c>
      <c r="L11" s="52">
        <f>J11*12</f>
        <v/>
      </c>
      <c r="M11" s="49" t="inlineStr"/>
      <c r="N11" s="49" t="inlineStr"/>
      <c r="O11" s="50" t="inlineStr">
        <is>
          <t>Multímetro digital profesional para medir tensión (CA/CC), corriente, resistencia, continuidad, frecuencia y capacitancia. Herramienta base para el diagnóstico eléctrico y electrónico durante el mantenimiento de equipos médicos. Robusto y confiable; llega con certificado de calibración vigente.</t>
        </is>
      </c>
      <c r="P11" s="50" t="inlineStr">
        <is>
          <t>{"Marca": "Sanwa", "Modelo": "CD771", "Origen": "Japón", "Mide": "V · A · Ω · Hz · F"}</t>
        </is>
      </c>
    </row>
    <row r="12">
      <c r="A12" s="49" t="inlineStr">
        <is>
          <t>set-46</t>
        </is>
      </c>
      <c r="B12" s="49" t="inlineStr">
        <is>
          <t>Herramientas de apoyo</t>
        </is>
      </c>
      <c r="C12" s="50" t="inlineStr">
        <is>
          <t>Herramientas manuales</t>
        </is>
      </c>
      <c r="D12" s="50" t="inlineStr">
        <is>
          <t>Set de herramientas 46 pzs</t>
        </is>
      </c>
      <c r="E12" s="50" t="inlineStr">
        <is>
          <t>Kit técnico · China</t>
        </is>
      </c>
      <c r="F12" s="49" t="inlineStr">
        <is>
          <t>Estándar</t>
        </is>
      </c>
      <c r="G12" s="49" t="inlineStr">
        <is>
          <t>tools</t>
        </is>
      </c>
      <c r="H12" s="49" t="inlineStr">
        <is>
          <t>46</t>
        </is>
      </c>
      <c r="I12" s="49" t="inlineStr"/>
      <c r="J12" s="49" t="inlineStr"/>
      <c r="K12" s="52" t="inlineStr"/>
      <c r="L12" s="52" t="inlineStr"/>
      <c r="M12" s="49" t="inlineStr"/>
      <c r="N12" s="49" t="inlineStr">
        <is>
          <t>sí</t>
        </is>
      </c>
      <c r="O12" s="50" t="inlineStr">
        <is>
          <t>Juego de 46 piezas para mantenimiento e intervención técnica en sitio. Complementaria: se incluye en los paquetes de Mantenimiento.</t>
        </is>
      </c>
      <c r="P12" s="50" t="inlineStr">
        <is>
          <t>{"Marca": "Kit técnico", "Origen": "China", "Piezas": "46", "Uso": "Mantenimiento en sitio"}</t>
        </is>
      </c>
    </row>
    <row r="13">
      <c r="A13" s="49" t="inlineStr">
        <is>
          <t>destornillador-elec</t>
        </is>
      </c>
      <c r="B13" s="49" t="inlineStr">
        <is>
          <t>Herramientas de apoyo</t>
        </is>
      </c>
      <c r="C13" s="50" t="inlineStr">
        <is>
          <t>Destornillador eléctrico</t>
        </is>
      </c>
      <c r="D13" s="50" t="inlineStr">
        <is>
          <t>Destornillador eléctrico inalámbrico</t>
        </is>
      </c>
      <c r="E13" s="50" t="inlineStr">
        <is>
          <t>Genérico · China</t>
        </is>
      </c>
      <c r="F13" s="49" t="inlineStr">
        <is>
          <t>Estándar</t>
        </is>
      </c>
      <c r="G13" s="49" t="inlineStr">
        <is>
          <t>tools</t>
        </is>
      </c>
      <c r="H13" s="49" t="inlineStr">
        <is>
          <t>SCREW</t>
        </is>
      </c>
      <c r="I13" s="49" t="inlineStr"/>
      <c r="J13" s="49" t="inlineStr"/>
      <c r="K13" s="52" t="inlineStr"/>
      <c r="L13" s="52" t="inlineStr"/>
      <c r="M13" s="49" t="inlineStr"/>
      <c r="N13" s="49" t="inlineStr">
        <is>
          <t>sí</t>
        </is>
      </c>
      <c r="O13" s="50" t="inlineStr">
        <is>
          <t>Destornillador eléctrico inalámbrico con puntas para intervención en sitio. Complementaria: se incluye en los paquetes de Mantenimiento.</t>
        </is>
      </c>
      <c r="P13" s="50" t="inlineStr">
        <is>
          <t>{"Marca": "Genérico", "Origen": "China", "Tipo": "Inalámbrico", "Accesorios": "Juego de puntas"}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43" min="1" max="1"/>
    <col width="26" customWidth="1" style="43" min="2" max="2"/>
    <col width="14" customWidth="1" style="43" min="3" max="3"/>
    <col width="34" customWidth="1" style="43" min="4" max="4"/>
    <col width="30" customWidth="1" style="43" min="5" max="5"/>
    <col width="9" customWidth="1" style="43" min="6" max="6"/>
    <col width="12" customWidth="1" style="43" min="7" max="7"/>
    <col width="12" customWidth="1" style="43" min="8" max="8"/>
    <col width="11" customWidth="1" style="43" min="9" max="9"/>
    <col width="10" customWidth="1" style="43" min="10" max="10"/>
    <col width="10" customWidth="1" style="43" min="11" max="11"/>
    <col width="11" customWidth="1" style="43" min="12" max="12"/>
    <col width="11" customWidth="1" style="43" min="13" max="13"/>
    <col width="46" customWidth="1" style="43" min="14" max="14"/>
  </cols>
  <sheetData>
    <row r="1">
      <c r="A1" s="48" t="inlineStr">
        <is>
          <t>id</t>
        </is>
      </c>
      <c r="B1" s="48" t="inlineStr">
        <is>
          <t>app</t>
        </is>
      </c>
      <c r="C1" s="48" t="inlineStr">
        <is>
          <t>nivel</t>
        </is>
      </c>
      <c r="D1" s="48" t="inlineStr">
        <is>
          <t>nombre</t>
        </is>
      </c>
      <c r="E1" s="48" t="inlineStr">
        <is>
          <t>incluye_ids</t>
        </is>
      </c>
      <c r="F1" s="48" t="inlineStr">
        <is>
          <t>kit_apoyo</t>
        </is>
      </c>
      <c r="G1" s="48" t="inlineStr">
        <is>
          <t>equipos_hora</t>
        </is>
      </c>
      <c r="H1" s="48" t="inlineStr">
        <is>
          <t>equipos_dia</t>
        </is>
      </c>
      <c r="I1" s="48" t="inlineStr">
        <is>
          <t>por_equipo</t>
        </is>
      </c>
      <c r="J1" s="48" t="inlineStr">
        <is>
          <t>por_hora</t>
        </is>
      </c>
      <c r="K1" s="48" t="inlineStr">
        <is>
          <t>por_dia</t>
        </is>
      </c>
      <c r="L1" s="48" t="inlineStr">
        <is>
          <t>por_semana</t>
        </is>
      </c>
      <c r="M1" s="48" t="inlineStr">
        <is>
          <t>por_mes</t>
        </is>
      </c>
      <c r="N1" s="48" t="inlineStr">
        <is>
          <t>descripcion</t>
        </is>
      </c>
    </row>
    <row r="2">
      <c r="A2" s="49" t="inlineStr">
        <is>
          <t>pkg-monitores-cal</t>
        </is>
      </c>
      <c r="B2" s="50" t="inlineStr">
        <is>
          <t>Monitores de paciente</t>
        </is>
      </c>
      <c r="C2" s="49" t="inlineStr">
        <is>
          <t>Calibración</t>
        </is>
      </c>
      <c r="D2" s="50" t="inlineStr">
        <is>
          <t>Pack Monitores de paciente · Calibración</t>
        </is>
      </c>
      <c r="E2" s="50" t="inlineStr">
        <is>
          <t>esa620,sp-sim,ms400,manometro</t>
        </is>
      </c>
      <c r="F2" s="49" t="inlineStr"/>
      <c r="G2" s="49" t="n">
        <v>1.5</v>
      </c>
      <c r="H2" s="49" t="n">
        <v>10</v>
      </c>
      <c r="I2" s="51" t="n">
        <v>108</v>
      </c>
      <c r="J2" s="51" t="n">
        <v>146</v>
      </c>
      <c r="K2" s="51" t="n">
        <v>624</v>
      </c>
      <c r="L2" s="52">
        <f>K2*4</f>
        <v/>
      </c>
      <c r="M2" s="52">
        <f>K2*12</f>
        <v/>
      </c>
      <c r="N2" s="50" t="inlineStr">
        <is>
          <t>Instrumentos para calibrar y certificar monitores: seguridad eléctrica + SpO2 + ECG/multiparámetro + presión (NIBP).</t>
        </is>
      </c>
    </row>
    <row r="3">
      <c r="A3" s="49" t="inlineStr">
        <is>
          <t>pkg-monitores-mant</t>
        </is>
      </c>
      <c r="B3" s="50" t="inlineStr">
        <is>
          <t>Monitores de paciente</t>
        </is>
      </c>
      <c r="C3" s="49" t="inlineStr">
        <is>
          <t>Mantenimiento</t>
        </is>
      </c>
      <c r="D3" s="50" t="inlineStr">
        <is>
          <t>Pack Monitores de paciente · Mantenimiento</t>
        </is>
      </c>
      <c r="E3" s="50" t="inlineStr">
        <is>
          <t>esa620,sp-sim,ms400,manometro</t>
        </is>
      </c>
      <c r="F3" s="49" t="inlineStr">
        <is>
          <t>sí</t>
        </is>
      </c>
      <c r="G3" s="49" t="n">
        <v>1.5</v>
      </c>
      <c r="H3" s="49" t="n">
        <v>10</v>
      </c>
      <c r="I3" s="51" t="n">
        <v>124</v>
      </c>
      <c r="J3" s="51" t="n">
        <v>168</v>
      </c>
      <c r="K3" s="51" t="n">
        <v>718</v>
      </c>
      <c r="L3" s="52">
        <f>K3*4</f>
        <v/>
      </c>
      <c r="M3" s="52">
        <f>K3*12</f>
        <v/>
      </c>
      <c r="N3" s="50" t="inlineStr">
        <is>
          <t>Todo lo del paquete de Calibración + multímetro y herramientas de apoyo para mantenimiento preventivo/correctivo en sitio.</t>
        </is>
      </c>
    </row>
    <row r="4">
      <c r="A4" s="49" t="inlineStr">
        <is>
          <t>pkg-desfib-cal</t>
        </is>
      </c>
      <c r="B4" s="50" t="inlineStr">
        <is>
          <t>Desfibriladores</t>
        </is>
      </c>
      <c r="C4" s="49" t="inlineStr">
        <is>
          <t>Calibración</t>
        </is>
      </c>
      <c r="D4" s="50" t="inlineStr">
        <is>
          <t>Pack Desfibriladores · Calibración</t>
        </is>
      </c>
      <c r="E4" s="50" t="inlineStr">
        <is>
          <t>esa620,defib</t>
        </is>
      </c>
      <c r="F4" s="49" t="inlineStr"/>
      <c r="G4" s="49" t="n">
        <v>1.5</v>
      </c>
      <c r="H4" s="49" t="n">
        <v>10</v>
      </c>
      <c r="I4" s="51" t="n">
        <v>120</v>
      </c>
      <c r="J4" s="51" t="n">
        <v>162</v>
      </c>
      <c r="K4" s="51" t="n">
        <v>693</v>
      </c>
      <c r="L4" s="52">
        <f>K4*4</f>
        <v/>
      </c>
      <c r="M4" s="52">
        <f>K4*12</f>
        <v/>
      </c>
      <c r="N4" s="50" t="inlineStr">
        <is>
          <t>Seguridad eléctrica + energía entregada (joules) y sincronía.</t>
        </is>
      </c>
    </row>
    <row r="5">
      <c r="A5" s="49" t="inlineStr">
        <is>
          <t>pkg-desfib-mant</t>
        </is>
      </c>
      <c r="B5" s="50" t="inlineStr">
        <is>
          <t>Desfibriladores</t>
        </is>
      </c>
      <c r="C5" s="49" t="inlineStr">
        <is>
          <t>Mantenimiento</t>
        </is>
      </c>
      <c r="D5" s="50" t="inlineStr">
        <is>
          <t>Pack Desfibriladores · Mantenimiento</t>
        </is>
      </c>
      <c r="E5" s="50" t="inlineStr">
        <is>
          <t>esa620,defib</t>
        </is>
      </c>
      <c r="F5" s="49" t="inlineStr">
        <is>
          <t>sí</t>
        </is>
      </c>
      <c r="G5" s="49" t="n">
        <v>1.5</v>
      </c>
      <c r="H5" s="49" t="n">
        <v>10</v>
      </c>
      <c r="I5" s="51" t="n">
        <v>138</v>
      </c>
      <c r="J5" s="51" t="n">
        <v>186</v>
      </c>
      <c r="K5" s="51" t="n">
        <v>797</v>
      </c>
      <c r="L5" s="52">
        <f>K5*4</f>
        <v/>
      </c>
      <c r="M5" s="52">
        <f>K5*12</f>
        <v/>
      </c>
      <c r="N5" s="50" t="inlineStr">
        <is>
          <t>Todo lo del paquete de Calibración + multímetro y herramientas de apoyo para mantenimiento preventivo/correctivo en sitio.</t>
        </is>
      </c>
    </row>
    <row r="6">
      <c r="A6" s="49" t="inlineStr">
        <is>
          <t>pkg-centrifugas-cal</t>
        </is>
      </c>
      <c r="B6" s="50" t="inlineStr">
        <is>
          <t>Centrífugas</t>
        </is>
      </c>
      <c r="C6" s="49" t="inlineStr">
        <is>
          <t>Calibración</t>
        </is>
      </c>
      <c r="D6" s="50" t="inlineStr">
        <is>
          <t>Pack Centrífugas · Calibración</t>
        </is>
      </c>
      <c r="E6" s="50" t="inlineStr">
        <is>
          <t>esa620,tacometro</t>
        </is>
      </c>
      <c r="F6" s="49" t="inlineStr"/>
      <c r="G6" s="49" t="n">
        <v>2</v>
      </c>
      <c r="H6" s="49" t="n">
        <v>14</v>
      </c>
      <c r="I6" s="51" t="n">
        <v>75</v>
      </c>
      <c r="J6" s="51" t="n">
        <v>135</v>
      </c>
      <c r="K6" s="51" t="n">
        <v>578</v>
      </c>
      <c r="L6" s="52">
        <f>K6*4</f>
        <v/>
      </c>
      <c r="M6" s="52">
        <f>K6*12</f>
        <v/>
      </c>
      <c r="N6" s="50" t="inlineStr">
        <is>
          <t>Seguridad eléctrica + verificación de rpm.</t>
        </is>
      </c>
    </row>
    <row r="7">
      <c r="A7" s="49" t="inlineStr">
        <is>
          <t>pkg-centrifugas-mant</t>
        </is>
      </c>
      <c r="B7" s="50" t="inlineStr">
        <is>
          <t>Centrífugas</t>
        </is>
      </c>
      <c r="C7" s="49" t="inlineStr">
        <is>
          <t>Mantenimiento</t>
        </is>
      </c>
      <c r="D7" s="50" t="inlineStr">
        <is>
          <t>Pack Centrífugas · Mantenimiento</t>
        </is>
      </c>
      <c r="E7" s="50" t="inlineStr">
        <is>
          <t>esa620,tacometro</t>
        </is>
      </c>
      <c r="F7" s="49" t="inlineStr">
        <is>
          <t>sí</t>
        </is>
      </c>
      <c r="G7" s="49" t="n">
        <v>2</v>
      </c>
      <c r="H7" s="49" t="n">
        <v>14</v>
      </c>
      <c r="I7" s="51" t="n">
        <v>86</v>
      </c>
      <c r="J7" s="51" t="n">
        <v>155</v>
      </c>
      <c r="K7" s="51" t="n">
        <v>665</v>
      </c>
      <c r="L7" s="52">
        <f>K7*4</f>
        <v/>
      </c>
      <c r="M7" s="52">
        <f>K7*12</f>
        <v/>
      </c>
      <c r="N7" s="50" t="inlineStr">
        <is>
          <t>Todo lo del paquete de Calibración + multímetro y herramientas de apoyo para mantenimiento preventivo/correctivo en sitio.</t>
        </is>
      </c>
    </row>
    <row r="8">
      <c r="A8" s="49" t="inlineStr">
        <is>
          <t>pkg-lamparas-cal</t>
        </is>
      </c>
      <c r="B8" s="50" t="inlineStr">
        <is>
          <t>Lámparas cialíticas</t>
        </is>
      </c>
      <c r="C8" s="49" t="inlineStr">
        <is>
          <t>Calibración</t>
        </is>
      </c>
      <c r="D8" s="50" t="inlineStr">
        <is>
          <t>Pack Lámparas cialíticas · Calibración</t>
        </is>
      </c>
      <c r="E8" s="50" t="inlineStr">
        <is>
          <t>esa620,luxometro</t>
        </is>
      </c>
      <c r="F8" s="49" t="inlineStr"/>
      <c r="G8" s="49" t="n">
        <v>2</v>
      </c>
      <c r="H8" s="49" t="n">
        <v>14</v>
      </c>
      <c r="I8" s="51" t="n">
        <v>90</v>
      </c>
      <c r="J8" s="51" t="n">
        <v>162</v>
      </c>
      <c r="K8" s="51" t="n">
        <v>693</v>
      </c>
      <c r="L8" s="52">
        <f>K8*4</f>
        <v/>
      </c>
      <c r="M8" s="52">
        <f>K8*12</f>
        <v/>
      </c>
      <c r="N8" s="50" t="inlineStr">
        <is>
          <t>Seguridad eléctrica + nivel de iluminación (lux).</t>
        </is>
      </c>
    </row>
    <row r="9">
      <c r="A9" s="49" t="inlineStr">
        <is>
          <t>pkg-lamparas-mant</t>
        </is>
      </c>
      <c r="B9" s="50" t="inlineStr">
        <is>
          <t>Lámparas cialíticas</t>
        </is>
      </c>
      <c r="C9" s="49" t="inlineStr">
        <is>
          <t>Mantenimiento</t>
        </is>
      </c>
      <c r="D9" s="50" t="inlineStr">
        <is>
          <t>Pack Lámparas cialíticas · Mantenimiento</t>
        </is>
      </c>
      <c r="E9" s="50" t="inlineStr">
        <is>
          <t>esa620,luxometro</t>
        </is>
      </c>
      <c r="F9" s="49" t="inlineStr">
        <is>
          <t>sí</t>
        </is>
      </c>
      <c r="G9" s="49" t="n">
        <v>2</v>
      </c>
      <c r="H9" s="49" t="n">
        <v>14</v>
      </c>
      <c r="I9" s="51" t="n">
        <v>103</v>
      </c>
      <c r="J9" s="51" t="n">
        <v>186</v>
      </c>
      <c r="K9" s="51" t="n">
        <v>797</v>
      </c>
      <c r="L9" s="52">
        <f>K9*4</f>
        <v/>
      </c>
      <c r="M9" s="52">
        <f>K9*12</f>
        <v/>
      </c>
      <c r="N9" s="50" t="inlineStr">
        <is>
          <t>Todo lo del paquete de Calibración + multímetro y herramientas de apoyo para mantenimiento preventivo/correctivo en sitio.</t>
        </is>
      </c>
    </row>
    <row r="10">
      <c r="A10" s="49" t="inlineStr">
        <is>
          <t>pkg-dental-cal</t>
        </is>
      </c>
      <c r="B10" s="50" t="inlineStr">
        <is>
          <t>Unidad dental</t>
        </is>
      </c>
      <c r="C10" s="49" t="inlineStr">
        <is>
          <t>Calibración</t>
        </is>
      </c>
      <c r="D10" s="50" t="inlineStr">
        <is>
          <t>Pack Unidad dental · Calibración</t>
        </is>
      </c>
      <c r="E10" s="50" t="inlineStr">
        <is>
          <t>esa620,fluke-945,manometro</t>
        </is>
      </c>
      <c r="F10" s="49" t="inlineStr"/>
      <c r="G10" s="49" t="n">
        <v>1.5</v>
      </c>
      <c r="H10" s="49" t="n">
        <v>10</v>
      </c>
      <c r="I10" s="51" t="n">
        <v>90</v>
      </c>
      <c r="J10" s="51" t="n">
        <v>122</v>
      </c>
      <c r="K10" s="51" t="n">
        <v>520</v>
      </c>
      <c r="L10" s="52">
        <f>K10*4</f>
        <v/>
      </c>
      <c r="M10" s="52">
        <f>K10*12</f>
        <v/>
      </c>
      <c r="N10" s="50" t="inlineStr">
        <is>
          <t>Seguridad eléctrica + ruido (sonómetro) + presión (manómetro).</t>
        </is>
      </c>
    </row>
    <row r="11">
      <c r="A11" s="49" t="inlineStr">
        <is>
          <t>pkg-dental-mant</t>
        </is>
      </c>
      <c r="B11" s="50" t="inlineStr">
        <is>
          <t>Unidad dental</t>
        </is>
      </c>
      <c r="C11" s="49" t="inlineStr">
        <is>
          <t>Mantenimiento</t>
        </is>
      </c>
      <c r="D11" s="50" t="inlineStr">
        <is>
          <t>Pack Unidad dental · Mantenimiento</t>
        </is>
      </c>
      <c r="E11" s="50" t="inlineStr">
        <is>
          <t>esa620,fluke-945,manometro</t>
        </is>
      </c>
      <c r="F11" s="49" t="inlineStr">
        <is>
          <t>sí</t>
        </is>
      </c>
      <c r="G11" s="49" t="n">
        <v>1.5</v>
      </c>
      <c r="H11" s="49" t="n">
        <v>10</v>
      </c>
      <c r="I11" s="51" t="n">
        <v>103</v>
      </c>
      <c r="J11" s="51" t="n">
        <v>140</v>
      </c>
      <c r="K11" s="51" t="n">
        <v>598</v>
      </c>
      <c r="L11" s="52">
        <f>K11*4</f>
        <v/>
      </c>
      <c r="M11" s="52">
        <f>K11*12</f>
        <v/>
      </c>
      <c r="N11" s="50" t="inlineStr">
        <is>
          <t>Todo lo del paquete de Calibración + multímetro y herramientas de apoyo para mantenimiento preventivo/correctivo en sitio.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43" min="1" max="1"/>
    <col width="26" customWidth="1" style="43" min="2" max="2"/>
    <col width="34" customWidth="1" style="43" min="3" max="3"/>
    <col width="26" customWidth="1" style="43" min="4" max="4"/>
    <col width="12" customWidth="1" style="43" min="5" max="5"/>
    <col width="16" customWidth="1" style="43" min="6" max="6"/>
    <col width="12" customWidth="1" style="43" min="7" max="7"/>
    <col width="9" customWidth="1" style="43" min="8" max="8"/>
    <col width="14" customWidth="1" style="43" min="9" max="9"/>
    <col width="46" customWidth="1" style="43" min="10" max="10"/>
    <col width="60" customWidth="1" style="43" min="11" max="11"/>
  </cols>
  <sheetData>
    <row r="1" ht="20" customHeight="1" s="43">
      <c r="A1" s="81" t="inlineStr">
        <is>
          <t>id</t>
        </is>
      </c>
      <c r="B1" s="81" t="inlineStr">
        <is>
          <t>cliente</t>
        </is>
      </c>
      <c r="C1" s="81" t="inlineStr">
        <is>
          <t>titulo</t>
        </is>
      </c>
      <c r="D1" s="81" t="inlineStr">
        <is>
          <t>servicio</t>
        </is>
      </c>
      <c r="E1" s="81" t="inlineStr">
        <is>
          <t>fecha</t>
        </is>
      </c>
      <c r="F1" s="81" t="inlineStr">
        <is>
          <t>foto</t>
        </is>
      </c>
      <c r="G1" s="81" t="inlineStr">
        <is>
          <t>estado</t>
        </is>
      </c>
      <c r="H1" s="81" t="inlineStr">
        <is>
          <t>avance</t>
        </is>
      </c>
      <c r="I1" s="81" t="inlineStr">
        <is>
          <t>clave</t>
        </is>
      </c>
      <c r="J1" s="81" t="inlineStr">
        <is>
          <t>descripcion</t>
        </is>
      </c>
      <c r="K1" s="81" t="inlineStr">
        <is>
          <t>hitos</t>
        </is>
      </c>
    </row>
    <row r="2">
      <c r="A2" s="82" t="inlineStr">
        <is>
          <t>clinica-monitores</t>
        </is>
      </c>
      <c r="B2" s="82" t="inlineStr">
        <is>
          <t>Clínica privada · San Isidro</t>
        </is>
      </c>
      <c r="C2" s="82" t="inlineStr">
        <is>
          <t>Calibración de monitores multiparamétricos</t>
        </is>
      </c>
      <c r="D2" s="82" t="inlineStr">
        <is>
          <t>Metrología · Pack Monitores</t>
        </is>
      </c>
      <c r="E2" s="82" t="inlineStr">
        <is>
          <t>Junio 2026</t>
        </is>
      </c>
      <c r="F2" s="82" t="inlineStr">
        <is>
          <t>img/proyectos/clinica-monitores.jpg</t>
        </is>
      </c>
      <c r="G2" s="82" t="inlineStr">
        <is>
          <t>En curso</t>
        </is>
      </c>
      <c r="H2" s="82" t="n">
        <v>65</v>
      </c>
      <c r="I2" s="82" t="inlineStr">
        <is>
          <t>demo123</t>
        </is>
      </c>
      <c r="J2" s="83" t="inlineStr">
        <is>
          <t>Verificación de seguridad eléctrica y desempeño de 24 monitores de paciente en dos sedes, con certificado trazable por equipo.</t>
        </is>
      </c>
      <c r="K2" s="83" t="inlineStr">
        <is>
          <t>✓ Levantamiento y cronograma | ✓ Seguridad eléctrica (IEC 62353) | Verificación de SpO2 y NIBP | Entrega de certificados</t>
        </is>
      </c>
    </row>
    <row r="3">
      <c r="A3" s="82" t="inlineStr">
        <is>
          <t>hospital-desfibriladores</t>
        </is>
      </c>
      <c r="B3" s="82" t="inlineStr">
        <is>
          <t>Hospital regional · Lima Norte</t>
        </is>
      </c>
      <c r="C3" s="82" t="inlineStr">
        <is>
          <t>Verificación de desfibriladores en emergencia</t>
        </is>
      </c>
      <c r="D3" s="82" t="inlineStr">
        <is>
          <t>Metrología · Pack Desfibriladores</t>
        </is>
      </c>
      <c r="E3" s="82" t="inlineStr">
        <is>
          <t>Mayo 2026</t>
        </is>
      </c>
      <c r="F3" s="82" t="inlineStr">
        <is>
          <t>img/proyectos/hospital-desfibriladores.jpg</t>
        </is>
      </c>
      <c r="G3" s="82" t="inlineStr">
        <is>
          <t>En curso</t>
        </is>
      </c>
      <c r="H3" s="82" t="n">
        <v>40</v>
      </c>
      <c r="I3" s="82" t="inlineStr">
        <is>
          <t>demo123</t>
        </is>
      </c>
      <c r="J3" s="83" t="inlineStr">
        <is>
          <t>Medición de energía entregada, tiempo de carga y sincronización de 12 desfibriladores del área de emergencia y UCI.</t>
        </is>
      </c>
      <c r="K3" s="83" t="inlineStr">
        <is>
          <t>✓ Inventario y plan de trabajo | ✓ Pruebas de energía (50 Ω) | Cardioversión sincronizada | Informe y certificados</t>
        </is>
      </c>
    </row>
    <row r="4">
      <c r="A4" s="82" t="inlineStr">
        <is>
          <t>taller-inhouse</t>
        </is>
      </c>
      <c r="B4" s="82" t="inlineStr">
        <is>
          <t>Ingeniería clínica · in-house</t>
        </is>
      </c>
      <c r="C4" s="82" t="inlineStr">
        <is>
          <t>Taller de seguridad eléctrica IEC 62353</t>
        </is>
      </c>
      <c r="D4" s="82" t="inlineStr">
        <is>
          <t>Taller práctico · 8 horas</t>
        </is>
      </c>
      <c r="E4" s="82" t="inlineStr">
        <is>
          <t>Abril 2026</t>
        </is>
      </c>
      <c r="F4" s="82" t="inlineStr">
        <is>
          <t>img/proyectos/taller-inhouse.jpg</t>
        </is>
      </c>
      <c r="G4" s="82" t="inlineStr">
        <is>
          <t>Completado</t>
        </is>
      </c>
      <c r="H4" s="82" t="n">
        <v>100</v>
      </c>
      <c r="I4" s="82" t="inlineStr">
        <is>
          <t>demo123</t>
        </is>
      </c>
      <c r="J4" s="83" t="inlineStr">
        <is>
          <t>Capacitación práctica al equipo de ingeniería clínica con el analizador Fluke ESA620: corrientes de fuga, aislamiento y protocolo de pruebas.</t>
        </is>
      </c>
      <c r="K4" s="83" t="inlineStr">
        <is>
          <t>✓ Diagnóstico de necesidades | ✓ Sesión teórica y normativa | ✓ Práctica sobre equipos reales | ✓ Evaluación y constancias</t>
        </is>
      </c>
    </row>
    <row r="5"/>
    <row r="6">
      <c r="A6" s="84" t="n"/>
      <c r="B6" s="84" t="inlineStr">
        <is>
          <t>Cómo llenar: estado = "En curso" o "Completado" · avance = 0 a 100 · clave = la que le das a tu cliente (la web solo guarda su versión cifrada) · hitos separados por "|", los completados empiezan con "✓" · foto = ruta en img/ (opcional)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2" min="1" max="1"/>
    <col width="15" customWidth="1" style="42" min="2" max="2"/>
    <col width="11" customWidth="1" style="42" min="3" max="4"/>
    <col width="12" customWidth="1" style="42" min="5" max="7"/>
    <col width="13" customWidth="1" style="42" min="8" max="8"/>
    <col width="12" customWidth="1" style="42" min="9" max="9"/>
    <col width="16" customWidth="1" style="42" min="10" max="10"/>
  </cols>
  <sheetData>
    <row r="1" ht="15" customHeight="1" s="43">
      <c r="A1" s="53" t="inlineStr">
        <is>
          <t>MODELO DE PRECIOS — modalidades prorrateadas (de menor a mayor, con descuento por volumen)</t>
        </is>
      </c>
    </row>
    <row r="2"/>
    <row r="3" ht="15" customHeight="1" s="43">
      <c r="A3" s="54" t="inlineStr">
        <is>
          <t>PARÁMETROS</t>
        </is>
      </c>
    </row>
    <row r="4" ht="39" customHeight="1" s="43">
      <c r="A4" s="55" t="inlineStr">
        <is>
          <t>Horas efectivas por día (8 h − 1 h almuerzo)</t>
        </is>
      </c>
      <c r="B4" s="56" t="n">
        <v>7</v>
      </c>
      <c r="D4" s="55" t="inlineStr">
        <is>
          <t>Multiplicador semana (×día)</t>
        </is>
      </c>
      <c r="E4" s="56" t="n">
        <v>4</v>
      </c>
    </row>
    <row r="5" ht="39" customHeight="1" s="43">
      <c r="A5" s="55" t="inlineStr">
        <is>
          <t>Descuento por HORA (vs. por equipo)</t>
        </is>
      </c>
      <c r="B5" s="57" t="n">
        <v>0.1</v>
      </c>
      <c r="D5" s="55" t="inlineStr">
        <is>
          <t>Multiplicador mes (×día)</t>
        </is>
      </c>
      <c r="E5" s="56" t="n">
        <v>12</v>
      </c>
    </row>
    <row r="6" ht="15" customHeight="1" s="43">
      <c r="A6" s="55" t="inlineStr">
        <is>
          <t>Descuento por DÍA (vs. por equipo)</t>
        </is>
      </c>
      <c r="B6" s="57" t="n">
        <v>0.45</v>
      </c>
    </row>
    <row r="7" ht="26.25" customHeight="1" s="43">
      <c r="A7" s="55" t="inlineStr">
        <is>
          <t>% alquiler (del precio que cobra tu cliente)</t>
        </is>
      </c>
      <c r="B7" s="57" t="n">
        <v>0.3</v>
      </c>
    </row>
    <row r="8" ht="15" customHeight="1" s="43">
      <c r="A8" s="55" t="inlineStr">
        <is>
          <t>IGV</t>
        </is>
      </c>
      <c r="B8" s="57" t="n">
        <v>0.18</v>
      </c>
    </row>
    <row r="9" ht="15" customHeight="1" s="43">
      <c r="A9" s="55" t="inlineStr">
        <is>
          <t>Días de alquiler al mes (estimado)</t>
        </is>
      </c>
      <c r="B9" s="56" t="n">
        <v>6</v>
      </c>
    </row>
    <row r="10"/>
    <row r="11" ht="15" customHeight="1" s="43">
      <c r="A11" s="53" t="inlineStr">
        <is>
          <t>PRECIO POR APLICACIÓN  (con IGV) — equipo &lt; hora &lt; día &lt; semana &lt; mes</t>
        </is>
      </c>
    </row>
    <row r="12" ht="15" customHeight="1" s="43">
      <c r="A12" s="58" t="inlineStr">
        <is>
          <t>Aplicación</t>
        </is>
      </c>
      <c r="B12" s="58" t="inlineStr">
        <is>
          <t>Cobra cliente /equipo</t>
        </is>
      </c>
      <c r="C12" s="58" t="inlineStr">
        <is>
          <t>Equipos /hora</t>
        </is>
      </c>
      <c r="D12" s="58" t="inlineStr">
        <is>
          <t>Equipos /día</t>
        </is>
      </c>
      <c r="E12" s="58" t="inlineStr">
        <is>
          <t>Por equipo</t>
        </is>
      </c>
      <c r="F12" s="58" t="inlineStr">
        <is>
          <t>Por hora</t>
        </is>
      </c>
      <c r="G12" s="58" t="inlineStr">
        <is>
          <t>Por día</t>
        </is>
      </c>
      <c r="H12" s="58" t="inlineStr">
        <is>
          <t>Por semana</t>
        </is>
      </c>
      <c r="I12" s="58" t="inlineStr">
        <is>
          <t>Por mes</t>
        </is>
      </c>
      <c r="J12" s="58" t="inlineStr">
        <is>
          <t>Le queda al cliente /día</t>
        </is>
      </c>
    </row>
    <row r="13" ht="15" customHeight="1" s="43">
      <c r="A13" s="59" t="inlineStr">
        <is>
          <t>Monitores de paciente</t>
        </is>
      </c>
      <c r="B13" s="60" t="n">
        <v>360</v>
      </c>
      <c r="C13" s="61" t="n">
        <v>1.5</v>
      </c>
      <c r="D13" s="62">
        <f>C13*$B$4</f>
        <v/>
      </c>
      <c r="E13" s="63">
        <f>B13*$B$7</f>
        <v/>
      </c>
      <c r="F13" s="64">
        <f>E13*C13*(1-$B$5)</f>
        <v/>
      </c>
      <c r="G13" s="63">
        <f>E13*D13*(1-$B$6)</f>
        <v/>
      </c>
      <c r="H13" s="64">
        <f>G13*$E$4</f>
        <v/>
      </c>
      <c r="I13" s="64">
        <f>G13*$E$5</f>
        <v/>
      </c>
      <c r="J13" s="64">
        <f>B13*D13-G13</f>
        <v/>
      </c>
    </row>
    <row r="14" ht="15" customHeight="1" s="43">
      <c r="A14" s="59" t="inlineStr">
        <is>
          <t>Desfibriladores</t>
        </is>
      </c>
      <c r="B14" s="60" t="n">
        <v>400</v>
      </c>
      <c r="C14" s="61" t="n">
        <v>1.5</v>
      </c>
      <c r="D14" s="62">
        <f>C14*$B$4</f>
        <v/>
      </c>
      <c r="E14" s="63">
        <f>B14*$B$7</f>
        <v/>
      </c>
      <c r="F14" s="64">
        <f>E14*C14*(1-$B$5)</f>
        <v/>
      </c>
      <c r="G14" s="63">
        <f>E14*D14*(1-$B$6)</f>
        <v/>
      </c>
      <c r="H14" s="64">
        <f>G14*$E$4</f>
        <v/>
      </c>
      <c r="I14" s="64">
        <f>G14*$E$5</f>
        <v/>
      </c>
      <c r="J14" s="64">
        <f>B14*D14-G14</f>
        <v/>
      </c>
    </row>
    <row r="15" ht="15" customHeight="1" s="43">
      <c r="A15" s="59" t="inlineStr">
        <is>
          <t>Centrífugas</t>
        </is>
      </c>
      <c r="B15" s="60" t="n">
        <v>250</v>
      </c>
      <c r="C15" s="61" t="n">
        <v>2</v>
      </c>
      <c r="D15" s="62">
        <f>C15*$B$4</f>
        <v/>
      </c>
      <c r="E15" s="63">
        <f>B15*$B$7</f>
        <v/>
      </c>
      <c r="F15" s="64">
        <f>E15*C15*(1-$B$5)</f>
        <v/>
      </c>
      <c r="G15" s="63">
        <f>E15*D15*(1-$B$6)</f>
        <v/>
      </c>
      <c r="H15" s="64">
        <f>G15*$E$4</f>
        <v/>
      </c>
      <c r="I15" s="64">
        <f>G15*$E$5</f>
        <v/>
      </c>
      <c r="J15" s="64">
        <f>B15*D15-G15</f>
        <v/>
      </c>
    </row>
    <row r="16" ht="15" customHeight="1" s="43">
      <c r="A16" s="59" t="inlineStr">
        <is>
          <t>Lámparas cialíticas</t>
        </is>
      </c>
      <c r="B16" s="60" t="n">
        <v>300</v>
      </c>
      <c r="C16" s="61" t="n">
        <v>2</v>
      </c>
      <c r="D16" s="62">
        <f>C16*$B$4</f>
        <v/>
      </c>
      <c r="E16" s="63">
        <f>B16*$B$7</f>
        <v/>
      </c>
      <c r="F16" s="64">
        <f>E16*C16*(1-$B$5)</f>
        <v/>
      </c>
      <c r="G16" s="63">
        <f>E16*D16*(1-$B$6)</f>
        <v/>
      </c>
      <c r="H16" s="64">
        <f>G16*$E$4</f>
        <v/>
      </c>
      <c r="I16" s="64">
        <f>G16*$E$5</f>
        <v/>
      </c>
      <c r="J16" s="64">
        <f>B16*D16-G16</f>
        <v/>
      </c>
    </row>
    <row r="17" ht="15" customHeight="1" s="43">
      <c r="A17" s="59" t="inlineStr">
        <is>
          <t>Unidad dental</t>
        </is>
      </c>
      <c r="B17" s="60" t="n">
        <v>300</v>
      </c>
      <c r="C17" s="61" t="n">
        <v>1.5</v>
      </c>
      <c r="D17" s="62">
        <f>C17*$B$4</f>
        <v/>
      </c>
      <c r="E17" s="63">
        <f>B17*$B$7</f>
        <v/>
      </c>
      <c r="F17" s="64">
        <f>E17*C17*(1-$B$5)</f>
        <v/>
      </c>
      <c r="G17" s="63">
        <f>E17*D17*(1-$B$6)</f>
        <v/>
      </c>
      <c r="H17" s="64">
        <f>G17*$E$4</f>
        <v/>
      </c>
      <c r="I17" s="64">
        <f>G17*$E$5</f>
        <v/>
      </c>
      <c r="J17" s="64">
        <f>B17*D17-G17</f>
        <v/>
      </c>
    </row>
    <row r="18" ht="15" customHeight="1" s="43">
      <c r="A18" s="65" t="inlineStr">
        <is>
          <t>Por equipo = cobra×%. Por hora = (por equipo)×(equipos/hora)×(1−desc hora). Por día = (por equipo)×(equipos/día)×(1−desc día). Equipos/día = equipos/hora × 7.</t>
        </is>
      </c>
    </row>
    <row r="19" ht="15" customHeight="1" s="43">
      <c r="A19" s="65" t="inlineStr">
        <is>
          <t>Centrífugas y Unidad dental: cobra/equipo estimado (no estaban en Limatambo).</t>
        </is>
      </c>
    </row>
    <row r="20"/>
    <row r="21" ht="15" customHeight="1" s="43">
      <c r="A21" s="53" t="inlineStr">
        <is>
          <t>INVERSIÓN Y RETORNO</t>
        </is>
      </c>
    </row>
    <row r="22" ht="15" customHeight="1" s="43">
      <c r="A22" s="66" t="inlineStr">
        <is>
          <t>Instrumento</t>
        </is>
      </c>
      <c r="B22" s="58" t="inlineStr">
        <is>
          <t>Costo adquisición (S/)</t>
        </is>
      </c>
    </row>
    <row r="23" ht="26.25" customHeight="1" s="43">
      <c r="A23" s="59" t="inlineStr">
        <is>
          <t>Analizador de seguridad eléctrica — Fluke ESA620</t>
        </is>
      </c>
      <c r="B23" s="60" t="n">
        <v>13580</v>
      </c>
    </row>
    <row r="24" ht="26.25" customHeight="1" s="43">
      <c r="A24" s="59" t="inlineStr">
        <is>
          <t>Simulador de SpO2 — Rigel SP-SiM</t>
        </is>
      </c>
      <c r="B24" s="60" t="n">
        <v>3585</v>
      </c>
    </row>
    <row r="25" ht="26.25" customHeight="1" s="43">
      <c r="A25" s="59" t="inlineStr">
        <is>
          <t>Analizador de desfibriladores — Meditech</t>
        </is>
      </c>
      <c r="B25" s="60" t="n">
        <v>5578</v>
      </c>
    </row>
    <row r="26" ht="15" customHeight="1" s="43">
      <c r="A26" s="59" t="inlineStr">
        <is>
          <t>Simulador ECG — Contec MS400</t>
        </is>
      </c>
      <c r="B26" s="60" t="n">
        <v>1190</v>
      </c>
    </row>
    <row r="27" ht="15" customHeight="1" s="43">
      <c r="A27" s="59" t="inlineStr">
        <is>
          <t>Sonómetro — Fluke 945</t>
        </is>
      </c>
      <c r="B27" s="60" t="n">
        <v>1050</v>
      </c>
    </row>
    <row r="28" ht="15" customHeight="1" s="43">
      <c r="A28" s="59" t="inlineStr">
        <is>
          <t>Termómetro — Fluke 51 II</t>
        </is>
      </c>
      <c r="B28" s="60" t="n">
        <v>679</v>
      </c>
    </row>
    <row r="29" ht="15" customHeight="1" s="43">
      <c r="A29" s="59" t="inlineStr">
        <is>
          <t>Manómetro — AUTOOL</t>
        </is>
      </c>
      <c r="B29" s="60" t="n">
        <v>167</v>
      </c>
    </row>
    <row r="30" ht="15" customHeight="1" s="43">
      <c r="A30" s="59" t="inlineStr">
        <is>
          <t>Luxómetro — TASI TA630B</t>
        </is>
      </c>
      <c r="B30" s="60" t="n">
        <v>66</v>
      </c>
    </row>
    <row r="31" ht="15" customHeight="1" s="43">
      <c r="A31" s="59" t="inlineStr">
        <is>
          <t>Tacómetro — TASI TA500C</t>
        </is>
      </c>
      <c r="B31" s="60" t="n">
        <v>78</v>
      </c>
    </row>
    <row r="32" ht="15" customHeight="1" s="43">
      <c r="A32" s="59" t="inlineStr">
        <is>
          <t>Multímetro — Sanwa CD771 (est.)</t>
        </is>
      </c>
      <c r="B32" s="60" t="n">
        <v>325</v>
      </c>
    </row>
    <row r="33" ht="26.25" customHeight="1" s="43">
      <c r="A33" s="59" t="inlineStr">
        <is>
          <t>Set 46 pzs + destornillador eléctrico (est.)</t>
        </is>
      </c>
      <c r="B33" s="60" t="n">
        <v>122</v>
      </c>
    </row>
    <row r="34" ht="15" customHeight="1" s="43">
      <c r="A34" s="67" t="inlineStr">
        <is>
          <t>INVERSIÓN TOTAL</t>
        </is>
      </c>
      <c r="B34" s="68">
        <f>SUM(B23:B33)</f>
        <v/>
      </c>
    </row>
    <row r="35"/>
    <row r="36" ht="15" customHeight="1" s="43">
      <c r="A36" s="55" t="inlineStr">
        <is>
          <t>Alquiler promedio /día (sin IGV)</t>
        </is>
      </c>
      <c r="B36" s="69">
        <f>AVERAGE(G13:G17)/(1+B8)</f>
        <v/>
      </c>
    </row>
    <row r="37" ht="15" customHeight="1" s="43">
      <c r="A37" s="55" t="inlineStr">
        <is>
          <t>Días de alquiler al mes</t>
        </is>
      </c>
      <c r="B37" s="70">
        <f>B9</f>
        <v/>
      </c>
    </row>
    <row r="38" ht="15" customHeight="1" s="43">
      <c r="A38" s="55" t="inlineStr">
        <is>
          <t>Ingreso mensual estimado (sin IGV)</t>
        </is>
      </c>
      <c r="B38" s="69">
        <f>B36*B37</f>
        <v/>
      </c>
    </row>
    <row r="39" ht="26.25" customHeight="1" s="43">
      <c r="A39" s="54" t="inlineStr">
        <is>
          <t>→ Meses para recuperar la inversión</t>
        </is>
      </c>
      <c r="B39" s="71">
        <f>B34/B38</f>
        <v/>
      </c>
    </row>
  </sheetData>
  <mergeCells count="5">
    <mergeCell ref="A1:J1"/>
    <mergeCell ref="A18:J18"/>
    <mergeCell ref="A21:J21"/>
    <mergeCell ref="A19:J19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40" customWidth="1" style="42" min="2" max="2"/>
    <col width="12" customWidth="1" style="42" min="3" max="4"/>
    <col width="14" customWidth="1" style="42" min="5" max="5"/>
    <col width="46" customWidth="1" style="42" min="6" max="7"/>
    <col width="46" customWidth="1" style="42" min="8" max="8"/>
  </cols>
  <sheetData>
    <row r="1" ht="15" customHeight="1" s="43">
      <c r="A1" s="58" t="inlineStr">
        <is>
          <t>id</t>
        </is>
      </c>
      <c r="B1" s="58" t="inlineStr">
        <is>
          <t>descripcion</t>
        </is>
      </c>
      <c r="C1" s="58" t="inlineStr">
        <is>
          <t>marca</t>
        </is>
      </c>
      <c r="D1" s="58" t="inlineStr">
        <is>
          <t>modelo</t>
        </is>
      </c>
      <c r="E1" s="58" t="inlineStr">
        <is>
          <t>estado</t>
        </is>
      </c>
      <c r="F1" s="58" t="inlineStr">
        <is>
          <t>observacion</t>
        </is>
      </c>
      <c r="G1" s="58" t="inlineStr">
        <is>
          <t>carpeta_fotos</t>
        </is>
      </c>
      <c r="H1" s="58" t="inlineStr">
        <is>
          <t>ficha_pdf</t>
        </is>
      </c>
    </row>
    <row r="2" ht="26.25" customHeight="1" s="43">
      <c r="A2" s="72" t="inlineStr">
        <is>
          <t>set-46</t>
        </is>
      </c>
      <c r="B2" s="59" t="inlineStr">
        <is>
          <t>Set de herramientas 46 pzs</t>
        </is>
      </c>
      <c r="C2" s="72" t="inlineStr">
        <is>
          <t>Kit técnico</t>
        </is>
      </c>
      <c r="D2" s="72" t="inlineStr">
        <is>
          <t>—</t>
        </is>
      </c>
      <c r="E2" s="73" t="inlineStr">
        <is>
          <t>En inventario</t>
        </is>
      </c>
      <c r="F2" s="59" t="inlineStr">
        <is>
          <t>Complementaria — parte del kit de mantenimiento.</t>
        </is>
      </c>
      <c r="G2" s="74" t="n"/>
      <c r="H2" s="74" t="n"/>
    </row>
    <row r="3" ht="26.25" customHeight="1" s="43">
      <c r="A3" s="72" t="inlineStr">
        <is>
          <t>destornillador-elec</t>
        </is>
      </c>
      <c r="B3" s="59" t="inlineStr">
        <is>
          <t>Destornillador eléctrico inalámbrico + puntas</t>
        </is>
      </c>
      <c r="C3" s="72" t="inlineStr">
        <is>
          <t>Genérico</t>
        </is>
      </c>
      <c r="D3" s="72" t="inlineStr">
        <is>
          <t>Genérico</t>
        </is>
      </c>
      <c r="E3" s="73" t="inlineStr">
        <is>
          <t>En inventario</t>
        </is>
      </c>
      <c r="F3" s="59" t="inlineStr">
        <is>
          <t>Complementaria — parte del kit de mantenimiento.</t>
        </is>
      </c>
      <c r="G3" s="74" t="n"/>
      <c r="H3" s="7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42" min="1" max="1"/>
    <col width="32" customWidth="1" style="42" min="2" max="2"/>
    <col width="22" customWidth="1" style="42" min="3" max="3"/>
    <col width="11" customWidth="1" style="42" min="4" max="4"/>
    <col width="18" customWidth="1" style="42" min="5" max="5"/>
    <col width="40" customWidth="1" style="42" min="6" max="6"/>
  </cols>
  <sheetData>
    <row r="1" ht="15" customHeight="1" s="43">
      <c r="A1" s="75" t="inlineStr">
        <is>
          <t>PROYECCIÓN DE COMPRAS — Aún NO comprado · no se muestra en la web · marcas Fluke/Rigel y premium · precios referenciales</t>
        </is>
      </c>
    </row>
    <row r="2"/>
    <row r="3" ht="15" customHeight="1" s="43">
      <c r="A3" s="58" t="inlineStr">
        <is>
          <t>descripción</t>
        </is>
      </c>
      <c r="B3" s="58" t="inlineStr">
        <is>
          <t>marca / modelo sugerido</t>
        </is>
      </c>
      <c r="C3" s="58" t="inlineStr">
        <is>
          <t>precio ref.</t>
        </is>
      </c>
      <c r="D3" s="58" t="inlineStr">
        <is>
          <t>prioridad</t>
        </is>
      </c>
      <c r="E3" s="58" t="inlineStr">
        <is>
          <t>fuente</t>
        </is>
      </c>
      <c r="F3" s="58" t="inlineStr">
        <is>
          <t>nota</t>
        </is>
      </c>
    </row>
    <row r="4" ht="15" customHeight="1" s="43">
      <c r="A4" s="76" t="inlineStr">
        <is>
          <t>1 · Analizadores y simuladores  (Fluke Biomedical / Rigel — importación)</t>
        </is>
      </c>
      <c r="B4" s="77" t="n"/>
      <c r="C4" s="77" t="n"/>
      <c r="D4" s="77" t="n"/>
      <c r="E4" s="77" t="n"/>
      <c r="F4" s="78" t="n"/>
    </row>
    <row r="5" ht="26.25" customHeight="1" s="43">
      <c r="A5" s="79" t="inlineStr">
        <is>
          <t>Analizador de bombas de infusión</t>
        </is>
      </c>
      <c r="B5" s="79" t="inlineStr">
        <is>
          <t>Fluke Biomedical IDA-6 / Rigel Multi-Flo</t>
        </is>
      </c>
      <c r="C5" s="80" t="inlineStr">
        <is>
          <t>≈ USD 5,000–8,000</t>
        </is>
      </c>
      <c r="D5" s="80" t="inlineStr">
        <is>
          <t>Alta</t>
        </is>
      </c>
      <c r="E5" s="80" t="inlineStr">
        <is>
          <t>Import (cotizar)</t>
        </is>
      </c>
      <c r="F5" s="79" t="inlineStr">
        <is>
          <t>Calibración de bombas de infusión.</t>
        </is>
      </c>
    </row>
    <row r="6" ht="15" customHeight="1" s="43">
      <c r="A6" s="79" t="inlineStr">
        <is>
          <t>Analizador de electrocirugía</t>
        </is>
      </c>
      <c r="B6" s="79" t="inlineStr">
        <is>
          <t>Fluke QA-ES III / Rigel Uni-Therm</t>
        </is>
      </c>
      <c r="C6" s="80" t="inlineStr">
        <is>
          <t>≈ USD 6,000–9,000</t>
        </is>
      </c>
      <c r="D6" s="80" t="inlineStr">
        <is>
          <t>Media</t>
        </is>
      </c>
      <c r="E6" s="80" t="inlineStr">
        <is>
          <t>Import (cotizar)</t>
        </is>
      </c>
      <c r="F6" s="79" t="inlineStr">
        <is>
          <t>Unidades de electrobisturí.</t>
        </is>
      </c>
    </row>
    <row r="7" ht="15" customHeight="1" s="43">
      <c r="A7" s="79" t="inlineStr">
        <is>
          <t>Analizador de flujo de gases / ventiladores</t>
        </is>
      </c>
      <c r="B7" s="79" t="inlineStr">
        <is>
          <t>Fluke VT900 / IMT Citrex H4</t>
        </is>
      </c>
      <c r="C7" s="80" t="inlineStr">
        <is>
          <t>≈ USD 7,000–11,000</t>
        </is>
      </c>
      <c r="D7" s="80" t="inlineStr">
        <is>
          <t>Media</t>
        </is>
      </c>
      <c r="E7" s="80" t="inlineStr">
        <is>
          <t>Import (cotizar)</t>
        </is>
      </c>
      <c r="F7" s="79" t="inlineStr">
        <is>
          <t>Ventiladores y anestesia.</t>
        </is>
      </c>
    </row>
    <row r="8" ht="15" customHeight="1" s="43">
      <c r="A8" s="79" t="inlineStr">
        <is>
          <t>Simulador de presión NIBP</t>
        </is>
      </c>
      <c r="B8" s="79" t="inlineStr">
        <is>
          <t>Rigel BP-SIM / Fluke ProSim</t>
        </is>
      </c>
      <c r="C8" s="80" t="inlineStr">
        <is>
          <t>≈ USD 2,000–3,500</t>
        </is>
      </c>
      <c r="D8" s="80" t="inlineStr">
        <is>
          <t>Media</t>
        </is>
      </c>
      <c r="E8" s="80" t="inlineStr">
        <is>
          <t>Import (cotizar)</t>
        </is>
      </c>
      <c r="F8" s="79" t="inlineStr">
        <is>
          <t>Presión arterial no invasiva.</t>
        </is>
      </c>
    </row>
    <row r="9" ht="15" customHeight="1" s="43">
      <c r="A9" s="79" t="inlineStr">
        <is>
          <t>Simulador de paciente avanzado</t>
        </is>
      </c>
      <c r="B9" s="79" t="inlineStr">
        <is>
          <t>Fluke Biomedical ProSim 8</t>
        </is>
      </c>
      <c r="C9" s="80" t="inlineStr">
        <is>
          <t>≈ USD 4,000–6,000</t>
        </is>
      </c>
      <c r="D9" s="80" t="inlineStr">
        <is>
          <t>Baja</t>
        </is>
      </c>
      <c r="E9" s="80" t="inlineStr">
        <is>
          <t>Import (cotizar)</t>
        </is>
      </c>
      <c r="F9" s="79" t="inlineStr">
        <is>
          <t>Multiparamétrico de gama alta.</t>
        </is>
      </c>
    </row>
    <row r="10" ht="15" customHeight="1" s="43">
      <c r="A10" s="79" t="inlineStr">
        <is>
          <t>Analizador de incubadoras</t>
        </is>
      </c>
      <c r="B10" s="79" t="inlineStr">
        <is>
          <t>Fluke Biomedical INCU II</t>
        </is>
      </c>
      <c r="C10" s="80" t="inlineStr">
        <is>
          <t>≈ USD 3,000–5,000</t>
        </is>
      </c>
      <c r="D10" s="80" t="inlineStr">
        <is>
          <t>Baja</t>
        </is>
      </c>
      <c r="E10" s="80" t="inlineStr">
        <is>
          <t>Import (cotizar)</t>
        </is>
      </c>
      <c r="F10" s="79" t="inlineStr">
        <is>
          <t>Incubadoras y cunas de calor.</t>
        </is>
      </c>
    </row>
    <row r="11" ht="15" customHeight="1" s="43">
      <c r="A11" s="79" t="inlineStr">
        <is>
          <t>Analizador de seguridad eléctrica (respaldo)</t>
        </is>
      </c>
      <c r="B11" s="79" t="inlineStr">
        <is>
          <t>Fluke Biomedical ESA615</t>
        </is>
      </c>
      <c r="C11" s="80" t="inlineStr">
        <is>
          <t>≈ USD 3,500–5,000</t>
        </is>
      </c>
      <c r="D11" s="80" t="inlineStr">
        <is>
          <t>Baja</t>
        </is>
      </c>
      <c r="E11" s="80" t="inlineStr">
        <is>
          <t>Import (cotizar)</t>
        </is>
      </c>
      <c r="F11" s="79" t="inlineStr">
        <is>
          <t>Segunda unidad / respaldo.</t>
        </is>
      </c>
    </row>
    <row r="12" ht="15" customHeight="1" s="43">
      <c r="A12" s="76" t="inlineStr">
        <is>
          <t>2 · Instrumentos de medición  (Fluke / marcas patrón)</t>
        </is>
      </c>
      <c r="B12" s="77" t="n"/>
      <c r="C12" s="77" t="n"/>
      <c r="D12" s="77" t="n"/>
      <c r="E12" s="77" t="n"/>
      <c r="F12" s="78" t="n"/>
    </row>
    <row r="13" ht="15" customHeight="1" s="43">
      <c r="A13" s="79" t="inlineStr">
        <is>
          <t>Termohigrómetro (temp. + humedad)</t>
        </is>
      </c>
      <c r="B13" s="79" t="inlineStr">
        <is>
          <t>Fluke 971</t>
        </is>
      </c>
      <c r="C13" s="80" t="inlineStr">
        <is>
          <t>≈ USD 350–550</t>
        </is>
      </c>
      <c r="D13" s="80" t="inlineStr">
        <is>
          <t>Alta</t>
        </is>
      </c>
      <c r="E13" s="80" t="inlineStr">
        <is>
          <t>Distribuidor (cotizar)</t>
        </is>
      </c>
      <c r="F13" s="79" t="inlineStr">
        <is>
          <t>Ambientes clínicos / almacenamiento.</t>
        </is>
      </c>
    </row>
    <row r="14" ht="15" customHeight="1" s="43">
      <c r="A14" s="79" t="inlineStr">
        <is>
          <t>Termómetro infrarrojo</t>
        </is>
      </c>
      <c r="B14" s="79" t="inlineStr">
        <is>
          <t>Fluke 62 MAX+ / 568</t>
        </is>
      </c>
      <c r="C14" s="80" t="inlineStr">
        <is>
          <t>S/ 400–900</t>
        </is>
      </c>
      <c r="D14" s="80" t="inlineStr">
        <is>
          <t>Media</t>
        </is>
      </c>
      <c r="E14" s="80" t="inlineStr">
        <is>
          <t>Distribuidor</t>
        </is>
      </c>
      <c r="F14" s="79" t="inlineStr">
        <is>
          <t>Medición sin contacto.</t>
        </is>
      </c>
    </row>
    <row r="15" ht="15" customHeight="1" s="43">
      <c r="A15" s="79" t="inlineStr">
        <is>
          <t>Calibrador / patrón de presión</t>
        </is>
      </c>
      <c r="B15" s="79" t="inlineStr">
        <is>
          <t>Fluke 700G</t>
        </is>
      </c>
      <c r="C15" s="80" t="inlineStr">
        <is>
          <t>≈ USD 800–1,300</t>
        </is>
      </c>
      <c r="D15" s="80" t="inlineStr">
        <is>
          <t>Media</t>
        </is>
      </c>
      <c r="E15" s="80" t="inlineStr">
        <is>
          <t>Import (cotizar)</t>
        </is>
      </c>
      <c r="F15" s="79" t="inlineStr">
        <is>
          <t>Patrón para manómetros.</t>
        </is>
      </c>
    </row>
    <row r="16" ht="15" customHeight="1" s="43">
      <c r="A16" s="79" t="inlineStr">
        <is>
          <t>Pie de rey digital (vernier)</t>
        </is>
      </c>
      <c r="B16" s="79" t="inlineStr">
        <is>
          <t>Mitutoyo</t>
        </is>
      </c>
      <c r="C16" s="80" t="inlineStr">
        <is>
          <t>S/ 300–700</t>
        </is>
      </c>
      <c r="D16" s="80" t="inlineStr">
        <is>
          <t>Alta</t>
        </is>
      </c>
      <c r="E16" s="80" t="inlineStr">
        <is>
          <t>Distribuidor</t>
        </is>
      </c>
      <c r="F16" s="79" t="inlineStr">
        <is>
          <t>Dimensional de precisión.</t>
        </is>
      </c>
    </row>
    <row r="17" ht="15" customHeight="1" s="43">
      <c r="A17" s="79" t="inlineStr">
        <is>
          <t>Vibrómetro</t>
        </is>
      </c>
      <c r="B17" s="79" t="inlineStr">
        <is>
          <t>Fluke 805</t>
        </is>
      </c>
      <c r="C17" s="80" t="inlineStr">
        <is>
          <t>≈ USD 1,200–1,800</t>
        </is>
      </c>
      <c r="D17" s="80" t="inlineStr">
        <is>
          <t>Baja</t>
        </is>
      </c>
      <c r="E17" s="80" t="inlineStr">
        <is>
          <t>Import (cotizar)</t>
        </is>
      </c>
      <c r="F17" s="79" t="inlineStr">
        <is>
          <t>Equipos rotativos.</t>
        </is>
      </c>
    </row>
    <row r="18" ht="15" customHeight="1" s="43">
      <c r="A18" s="79" t="inlineStr">
        <is>
          <t>Cronómetro patrón</t>
        </is>
      </c>
      <c r="B18" s="79" t="inlineStr">
        <is>
          <t>Buena marca (cotizar)</t>
        </is>
      </c>
      <c r="C18" s="80" t="inlineStr">
        <is>
          <t>S/ 100–250</t>
        </is>
      </c>
      <c r="D18" s="80" t="inlineStr">
        <is>
          <t>Media</t>
        </is>
      </c>
      <c r="E18" s="80" t="inlineStr">
        <is>
          <t>Local</t>
        </is>
      </c>
      <c r="F18" s="79" t="inlineStr">
        <is>
          <t>Tiempos y ciclos.</t>
        </is>
      </c>
    </row>
    <row r="19" ht="15" customHeight="1" s="43">
      <c r="A19" s="79" t="inlineStr">
        <is>
          <t>Balanza / pesas patrón</t>
        </is>
      </c>
      <c r="B19" s="79" t="inlineStr">
        <is>
          <t>Ohaus / Radwag</t>
        </is>
      </c>
      <c r="C19" s="80" t="inlineStr">
        <is>
          <t>≈ USD 400–900</t>
        </is>
      </c>
      <c r="D19" s="80" t="inlineStr">
        <is>
          <t>Baja</t>
        </is>
      </c>
      <c r="E19" s="80" t="inlineStr">
        <is>
          <t>Distribuidor (cotizar)</t>
        </is>
      </c>
      <c r="F19" s="79" t="inlineStr">
        <is>
          <t>Verificación de balanzas.</t>
        </is>
      </c>
    </row>
    <row r="20" ht="15" customHeight="1" s="43">
      <c r="A20" s="76" t="inlineStr">
        <is>
          <t>3 · Medidores eléctricos  (Fluke)</t>
        </is>
      </c>
      <c r="B20" s="77" t="n"/>
      <c r="C20" s="77" t="n"/>
      <c r="D20" s="77" t="n"/>
      <c r="E20" s="77" t="n"/>
      <c r="F20" s="78" t="n"/>
    </row>
    <row r="21" ht="15" customHeight="1" s="43">
      <c r="A21" s="79" t="inlineStr">
        <is>
          <t>Multímetro de gama alta</t>
        </is>
      </c>
      <c r="B21" s="79" t="inlineStr">
        <is>
          <t>Fluke 87V / 117</t>
        </is>
      </c>
      <c r="C21" s="80" t="inlineStr">
        <is>
          <t>≈ USD 350–600</t>
        </is>
      </c>
      <c r="D21" s="80" t="inlineStr">
        <is>
          <t>Media</t>
        </is>
      </c>
      <c r="E21" s="80" t="inlineStr">
        <is>
          <t>Distribuidor (cotizar)</t>
        </is>
      </c>
      <c r="F21" s="79" t="inlineStr">
        <is>
          <t>Upgrade del Sanwa actual.</t>
        </is>
      </c>
    </row>
    <row r="22" ht="15" customHeight="1" s="43">
      <c r="A22" s="79" t="inlineStr">
        <is>
          <t>Pinza amperimétrica</t>
        </is>
      </c>
      <c r="B22" s="79" t="inlineStr">
        <is>
          <t>Fluke 325 / 376 FC</t>
        </is>
      </c>
      <c r="C22" s="80" t="inlineStr">
        <is>
          <t>≈ USD 250–600</t>
        </is>
      </c>
      <c r="D22" s="80" t="inlineStr">
        <is>
          <t>Alta</t>
        </is>
      </c>
      <c r="E22" s="80" t="inlineStr">
        <is>
          <t>Distribuidor (cotizar)</t>
        </is>
      </c>
      <c r="F22" s="79" t="inlineStr">
        <is>
          <t>Corriente sin abrir circuito.</t>
        </is>
      </c>
    </row>
    <row r="23" ht="15" customHeight="1" s="43">
      <c r="A23" s="79" t="inlineStr">
        <is>
          <t>Telurómetro (resistencia de tierra)</t>
        </is>
      </c>
      <c r="B23" s="79" t="inlineStr">
        <is>
          <t>Fluke 1623 / 1625</t>
        </is>
      </c>
      <c r="C23" s="80" t="inlineStr">
        <is>
          <t>≈ USD 1,800–3,000</t>
        </is>
      </c>
      <c r="D23" s="80" t="inlineStr">
        <is>
          <t>Media</t>
        </is>
      </c>
      <c r="E23" s="80" t="inlineStr">
        <is>
          <t>Import (cotizar)</t>
        </is>
      </c>
      <c r="F23" s="79" t="inlineStr">
        <is>
          <t>Puesta a tierra de equipos.</t>
        </is>
      </c>
    </row>
    <row r="24" ht="15" customHeight="1" s="43">
      <c r="A24" s="79" t="inlineStr">
        <is>
          <t>Megóhmetro (aislamiento)</t>
        </is>
      </c>
      <c r="B24" s="79" t="inlineStr">
        <is>
          <t>Fluke 1507 / 1577</t>
        </is>
      </c>
      <c r="C24" s="80" t="inlineStr">
        <is>
          <t>≈ USD 500–900</t>
        </is>
      </c>
      <c r="D24" s="80" t="inlineStr">
        <is>
          <t>Media</t>
        </is>
      </c>
      <c r="E24" s="80" t="inlineStr">
        <is>
          <t>Distribuidor (cotizar)</t>
        </is>
      </c>
      <c r="F24" s="79" t="inlineStr">
        <is>
          <t>Resistencia de aislamiento.</t>
        </is>
      </c>
    </row>
    <row r="25" ht="15" customHeight="1" s="43">
      <c r="A25" s="79" t="inlineStr">
        <is>
          <t>Calibrador de procesos (mA / V)</t>
        </is>
      </c>
      <c r="B25" s="79" t="inlineStr">
        <is>
          <t>Fluke 754</t>
        </is>
      </c>
      <c r="C25" s="80" t="inlineStr">
        <is>
          <t>≈ USD 3,000–4,500</t>
        </is>
      </c>
      <c r="D25" s="80" t="inlineStr">
        <is>
          <t>Baja</t>
        </is>
      </c>
      <c r="E25" s="80" t="inlineStr">
        <is>
          <t>Import (cotizar)</t>
        </is>
      </c>
      <c r="F25" s="79" t="inlineStr">
        <is>
          <t>Señales de instrumentación.</t>
        </is>
      </c>
    </row>
    <row r="26" ht="15" customHeight="1" s="43">
      <c r="A26" s="79" t="inlineStr">
        <is>
          <t>Probador de tomacorrientes / fase</t>
        </is>
      </c>
      <c r="B26" s="79" t="inlineStr">
        <is>
          <t>Fluke SM200 / buena marca</t>
        </is>
      </c>
      <c r="C26" s="80" t="inlineStr">
        <is>
          <t>S/ 150–350</t>
        </is>
      </c>
      <c r="D26" s="80" t="inlineStr">
        <is>
          <t>Alta</t>
        </is>
      </c>
      <c r="E26" s="80" t="inlineStr">
        <is>
          <t>Distribuidor</t>
        </is>
      </c>
      <c r="F26" s="79" t="inlineStr">
        <is>
          <t>Verificación rápida de tomas.</t>
        </is>
      </c>
    </row>
    <row r="27" ht="15" customHeight="1" s="43">
      <c r="A27" s="76" t="inlineStr">
        <is>
          <t>4 · Herramientas de apoyo  (buenas marcas — Promart / Sodimac)</t>
        </is>
      </c>
      <c r="B27" s="77" t="n"/>
      <c r="C27" s="77" t="n"/>
      <c r="D27" s="77" t="n"/>
      <c r="E27" s="77" t="n"/>
      <c r="F27" s="78" t="n"/>
    </row>
    <row r="28" ht="15" customHeight="1" s="43">
      <c r="A28" s="79" t="inlineStr">
        <is>
          <t>Taladro percutor</t>
        </is>
      </c>
      <c r="B28" s="79" t="inlineStr">
        <is>
          <t>Bosch / Dewalt / Makita</t>
        </is>
      </c>
      <c r="C28" s="80" t="inlineStr">
        <is>
          <t>S/ 400–900</t>
        </is>
      </c>
      <c r="D28" s="80" t="inlineStr">
        <is>
          <t>Alta</t>
        </is>
      </c>
      <c r="E28" s="80" t="inlineStr">
        <is>
          <t>Promart/Sodimac</t>
        </is>
      </c>
      <c r="F28" s="79" t="inlineStr">
        <is>
          <t>Perforación e intervención.</t>
        </is>
      </c>
    </row>
    <row r="29" ht="15" customHeight="1" s="43">
      <c r="A29" s="79" t="inlineStr">
        <is>
          <t>Juego de dados y llaves</t>
        </is>
      </c>
      <c r="B29" s="79" t="inlineStr">
        <is>
          <t>Bahco / Stanley</t>
        </is>
      </c>
      <c r="C29" s="80" t="inlineStr">
        <is>
          <t>S/ 300–600</t>
        </is>
      </c>
      <c r="D29" s="80" t="inlineStr">
        <is>
          <t>Alta</t>
        </is>
      </c>
      <c r="E29" s="80" t="inlineStr">
        <is>
          <t>Promart/Sodimac</t>
        </is>
      </c>
      <c r="F29" s="79" t="inlineStr">
        <is>
          <t>Acero cromo-vanadio.</t>
        </is>
      </c>
    </row>
    <row r="30" ht="15" customHeight="1" s="43">
      <c r="A30" s="79" t="inlineStr">
        <is>
          <t>Set de llaves mixtas</t>
        </is>
      </c>
      <c r="B30" s="79" t="inlineStr">
        <is>
          <t>Bahco / Stanley</t>
        </is>
      </c>
      <c r="C30" s="80" t="inlineStr">
        <is>
          <t>S/ 250–450</t>
        </is>
      </c>
      <c r="D30" s="80" t="inlineStr">
        <is>
          <t>Alta</t>
        </is>
      </c>
      <c r="E30" s="80" t="inlineStr">
        <is>
          <t>Promart/Sodimac</t>
        </is>
      </c>
      <c r="F30" s="79" t="inlineStr">
        <is>
          <t>Métrico / pulgadas.</t>
        </is>
      </c>
    </row>
    <row r="31" ht="15" customHeight="1" s="43">
      <c r="A31" s="79" t="inlineStr">
        <is>
          <t>Juego de destornilladores</t>
        </is>
      </c>
      <c r="B31" s="79" t="inlineStr">
        <is>
          <t>Wera / Bahco</t>
        </is>
      </c>
      <c r="C31" s="80" t="inlineStr">
        <is>
          <t>S/ 150–350</t>
        </is>
      </c>
      <c r="D31" s="80" t="inlineStr">
        <is>
          <t>Alta</t>
        </is>
      </c>
      <c r="E31" s="80" t="inlineStr">
        <is>
          <t>Promart/Sodimac</t>
        </is>
      </c>
      <c r="F31" s="79" t="inlineStr">
        <is>
          <t>Phillips, planos, precisión.</t>
        </is>
      </c>
    </row>
    <row r="32" ht="15" customHeight="1" s="43">
      <c r="A32" s="79" t="inlineStr">
        <is>
          <t>Set de alicates</t>
        </is>
      </c>
      <c r="B32" s="79" t="inlineStr">
        <is>
          <t>Knipex</t>
        </is>
      </c>
      <c r="C32" s="80" t="inlineStr">
        <is>
          <t>S/ 250–550</t>
        </is>
      </c>
      <c r="D32" s="80" t="inlineStr">
        <is>
          <t>Alta</t>
        </is>
      </c>
      <c r="E32" s="80" t="inlineStr">
        <is>
          <t>Promart/Sodimac</t>
        </is>
      </c>
      <c r="F32" s="79" t="inlineStr">
        <is>
          <t>Corte, punta, presión.</t>
        </is>
      </c>
    </row>
    <row r="33" ht="15" customHeight="1" s="43">
      <c r="A33" s="79" t="inlineStr">
        <is>
          <t>Llave Stilson (de tubo)</t>
        </is>
      </c>
      <c r="B33" s="79" t="inlineStr">
        <is>
          <t>Ridgid / Bahco</t>
        </is>
      </c>
      <c r="C33" s="80" t="inlineStr">
        <is>
          <t>S/ 150–400</t>
        </is>
      </c>
      <c r="D33" s="80" t="inlineStr">
        <is>
          <t>Media</t>
        </is>
      </c>
      <c r="E33" s="80" t="inlineStr">
        <is>
          <t>Promart/Sodimac</t>
        </is>
      </c>
      <c r="F33" s="79" t="inlineStr">
        <is>
          <t>Tuberías y acoples.</t>
        </is>
      </c>
    </row>
    <row r="34" ht="15" customHeight="1" s="43">
      <c r="A34" s="79" t="inlineStr">
        <is>
          <t>Juego de llaves Allen / Torx</t>
        </is>
      </c>
      <c r="B34" s="79" t="inlineStr">
        <is>
          <t>Wera / Bondhus</t>
        </is>
      </c>
      <c r="C34" s="80" t="inlineStr">
        <is>
          <t>S/ 80–200</t>
        </is>
      </c>
      <c r="D34" s="80" t="inlineStr">
        <is>
          <t>Media</t>
        </is>
      </c>
      <c r="E34" s="80" t="inlineStr">
        <is>
          <t>Promart/Sodimac</t>
        </is>
      </c>
      <c r="F34" s="79" t="inlineStr">
        <is>
          <t>Tornillería interna.</t>
        </is>
      </c>
    </row>
    <row r="35" ht="15" customHeight="1" s="43">
      <c r="A35" s="79" t="inlineStr">
        <is>
          <t>Estación de soldadura</t>
        </is>
      </c>
      <c r="B35" s="79" t="inlineStr">
        <is>
          <t>Weller / Hakko</t>
        </is>
      </c>
      <c r="C35" s="80" t="inlineStr">
        <is>
          <t>S/ 300–800</t>
        </is>
      </c>
      <c r="D35" s="80" t="inlineStr">
        <is>
          <t>Media</t>
        </is>
      </c>
      <c r="E35" s="80" t="inlineStr">
        <is>
          <t>Distribuidor</t>
        </is>
      </c>
      <c r="F35" s="79" t="inlineStr">
        <is>
          <t>Reparación electrónica.</t>
        </is>
      </c>
    </row>
    <row r="36" ht="15" customHeight="1" s="43">
      <c r="A36" s="79" t="inlineStr">
        <is>
          <t>Pistola de aire caliente</t>
        </is>
      </c>
      <c r="B36" s="79" t="inlineStr">
        <is>
          <t>Bosch / Makita</t>
        </is>
      </c>
      <c r="C36" s="80" t="inlineStr">
        <is>
          <t>S/ 200–450</t>
        </is>
      </c>
      <c r="D36" s="80" t="inlineStr">
        <is>
          <t>Media</t>
        </is>
      </c>
      <c r="E36" s="80" t="inlineStr">
        <is>
          <t>Promart/Sodimac</t>
        </is>
      </c>
      <c r="F36" s="79" t="inlineStr">
        <is>
          <t>Termorretráctil / desoldar.</t>
        </is>
      </c>
    </row>
    <row r="37" ht="15" customHeight="1" s="43">
      <c r="A37" s="79" t="inlineStr">
        <is>
          <t>Caja / maletín de herramientas</t>
        </is>
      </c>
      <c r="B37" s="79" t="inlineStr">
        <is>
          <t>Dewalt / Stanley</t>
        </is>
      </c>
      <c r="C37" s="80" t="inlineStr">
        <is>
          <t>S/ 200–500</t>
        </is>
      </c>
      <c r="D37" s="80" t="inlineStr">
        <is>
          <t>Alta</t>
        </is>
      </c>
      <c r="E37" s="80" t="inlineStr">
        <is>
          <t>Promart/Sodimac</t>
        </is>
      </c>
      <c r="F37" s="79" t="inlineStr">
        <is>
          <t>Transporte en sitio.</t>
        </is>
      </c>
    </row>
    <row r="38" ht="15" customHeight="1" s="43">
      <c r="A38" s="79" t="inlineStr">
        <is>
          <t>Linterna / lámpara LED de trabajo</t>
        </is>
      </c>
      <c r="B38" s="79" t="inlineStr">
        <is>
          <t>Fluke / Energizer</t>
        </is>
      </c>
      <c r="C38" s="80" t="inlineStr">
        <is>
          <t>S/ 100–300</t>
        </is>
      </c>
      <c r="D38" s="80" t="inlineStr">
        <is>
          <t>Media</t>
        </is>
      </c>
      <c r="E38" s="80" t="inlineStr">
        <is>
          <t>Distribuidor</t>
        </is>
      </c>
      <c r="F38" s="79" t="inlineStr">
        <is>
          <t>Iluminación puntual.</t>
        </is>
      </c>
    </row>
    <row r="39" ht="15" customHeight="1" s="43">
      <c r="A39" s="79" t="inlineStr">
        <is>
          <t>Extensión eléctrica industrial</t>
        </is>
      </c>
      <c r="B39" s="79" t="inlineStr">
        <is>
          <t>Buena marca</t>
        </is>
      </c>
      <c r="C39" s="80" t="inlineStr">
        <is>
          <t>S/ 80–200</t>
        </is>
      </c>
      <c r="D39" s="80" t="inlineStr">
        <is>
          <t>Media</t>
        </is>
      </c>
      <c r="E39" s="80" t="inlineStr">
        <is>
          <t>Promart/Sodimac</t>
        </is>
      </c>
      <c r="F39" s="79" t="inlineStr">
        <is>
          <t>Alimentación en sitio.</t>
        </is>
      </c>
    </row>
  </sheetData>
  <mergeCells count="5">
    <mergeCell ref="A1:F1"/>
    <mergeCell ref="A27:F27"/>
    <mergeCell ref="A12:F12"/>
    <mergeCell ref="A4:F4"/>
    <mergeCell ref="A20:F20"/>
  </mergeCells>
  <dataValidations count="1">
    <dataValidation sqref="D5:D11 D13:D19 D21:D26 D28:D39" showDropDown="0" showInputMessage="0" showErrorMessage="0" allowBlank="1" type="list" errorStyle="stop" operator="between">
      <formula1>"Alta,Media,Baja"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2026-06-27T17:31:02Z</dcterms:created>
  <dcterms:modified xmlns:dcterms="http://purl.org/dc/terms/" xmlns:xsi="http://www.w3.org/2001/XMLSchema-instance" xsi:type="dcterms:W3CDTF">2026-07-22T09:31:06Z</dcterms:modified>
  <cp:revision>0</cp:revision>
</cp:coreProperties>
</file>